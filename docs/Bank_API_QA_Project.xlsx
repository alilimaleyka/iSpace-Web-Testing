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b3ed3753589691d/Desktop/QA Bitirmə Layihəsi/"/>
    </mc:Choice>
  </mc:AlternateContent>
  <xr:revisionPtr revIDLastSave="2" documentId="11_503EC298B81D221981FB4173A74953B655488FC9" xr6:coauthVersionLast="47" xr6:coauthVersionMax="47" xr10:uidLastSave="{69E1BA0C-9908-481C-86CD-8AFA7FD3CE4E}"/>
  <bookViews>
    <workbookView xWindow="-108" yWindow="-108" windowWidth="23256" windowHeight="12456" tabRatio="500" activeTab="2" xr2:uid="{00000000-000D-0000-FFFF-FFFF00000000}"/>
  </bookViews>
  <sheets>
    <sheet name="Test Plan" sheetId="1" r:id="rId1"/>
    <sheet name="Test Scenarios" sheetId="2" r:id="rId2"/>
    <sheet name="API Test Cases" sheetId="3" r:id="rId3"/>
    <sheet name="RTM" sheetId="4" r:id="rId4"/>
    <sheet name="Bug Reports" sheetId="5" r:id="rId5"/>
  </sheets>
  <definedNames>
    <definedName name="_xlnm._FilterDatabase" localSheetId="2" hidden="1">'API Test Cases'!$A$4:$T$215</definedName>
    <definedName name="_xlnm._FilterDatabase" localSheetId="4" hidden="1">'Bug Reports'!$A$4:$O$7</definedName>
    <definedName name="_xlnm._FilterDatabase" localSheetId="3" hidden="1">RTM!$A$4:$DF$4</definedName>
    <definedName name="_xlnm._FilterDatabase" localSheetId="1" hidden="1">'Test Scenarios'!$A$4:$H$34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F217" i="4" l="1"/>
  <c r="DF221" i="4" s="1"/>
  <c r="DE217" i="4"/>
  <c r="DE221" i="4" s="1"/>
  <c r="DD217" i="4"/>
  <c r="DD221" i="4" s="1"/>
  <c r="DC217" i="4"/>
  <c r="DC221" i="4" s="1"/>
  <c r="DB217" i="4"/>
  <c r="DB221" i="4" s="1"/>
  <c r="DA217" i="4"/>
  <c r="DA221" i="4" s="1"/>
  <c r="CZ217" i="4"/>
  <c r="CZ221" i="4" s="1"/>
  <c r="CY217" i="4"/>
  <c r="CY221" i="4" s="1"/>
  <c r="CX217" i="4"/>
  <c r="CX221" i="4" s="1"/>
  <c r="CW217" i="4"/>
  <c r="CW221" i="4" s="1"/>
  <c r="CV217" i="4"/>
  <c r="CV221" i="4" s="1"/>
  <c r="CU217" i="4"/>
  <c r="CU221" i="4" s="1"/>
  <c r="CT217" i="4"/>
  <c r="CT221" i="4" s="1"/>
  <c r="CS217" i="4"/>
  <c r="CS221" i="4" s="1"/>
  <c r="CR217" i="4"/>
  <c r="CR221" i="4" s="1"/>
  <c r="CQ217" i="4"/>
  <c r="CQ221" i="4" s="1"/>
  <c r="CP217" i="4"/>
  <c r="CP221" i="4" s="1"/>
  <c r="CO217" i="4"/>
  <c r="CO221" i="4" s="1"/>
  <c r="CN217" i="4"/>
  <c r="CN221" i="4" s="1"/>
  <c r="CM217" i="4"/>
  <c r="CM221" i="4" s="1"/>
  <c r="CL217" i="4"/>
  <c r="CL221" i="4" s="1"/>
  <c r="CK217" i="4"/>
  <c r="CK221" i="4" s="1"/>
  <c r="CJ217" i="4"/>
  <c r="CJ221" i="4" s="1"/>
  <c r="CI217" i="4"/>
  <c r="CI221" i="4" s="1"/>
  <c r="CH217" i="4"/>
  <c r="CH221" i="4" s="1"/>
  <c r="CG217" i="4"/>
  <c r="CG221" i="4" s="1"/>
  <c r="CF217" i="4"/>
  <c r="CF221" i="4" s="1"/>
  <c r="CE217" i="4"/>
  <c r="CE221" i="4" s="1"/>
  <c r="CD217" i="4"/>
  <c r="CD221" i="4" s="1"/>
  <c r="CC217" i="4"/>
  <c r="CC221" i="4" s="1"/>
  <c r="CB217" i="4"/>
  <c r="CB221" i="4" s="1"/>
  <c r="CA217" i="4"/>
  <c r="CA221" i="4" s="1"/>
  <c r="BZ217" i="4"/>
  <c r="BZ221" i="4" s="1"/>
  <c r="BY217" i="4"/>
  <c r="BY221" i="4" s="1"/>
  <c r="BX217" i="4"/>
  <c r="BX221" i="4" s="1"/>
  <c r="BW217" i="4"/>
  <c r="BW221" i="4" s="1"/>
  <c r="BV217" i="4"/>
  <c r="BV221" i="4" s="1"/>
  <c r="BU217" i="4"/>
  <c r="BU221" i="4" s="1"/>
  <c r="BT217" i="4"/>
  <c r="BT221" i="4" s="1"/>
  <c r="BS217" i="4"/>
  <c r="BS221" i="4" s="1"/>
  <c r="BR217" i="4"/>
  <c r="BR221" i="4" s="1"/>
  <c r="BQ217" i="4"/>
  <c r="BQ221" i="4" s="1"/>
  <c r="BP217" i="4"/>
  <c r="BP221" i="4" s="1"/>
  <c r="BO217" i="4"/>
  <c r="BO221" i="4" s="1"/>
  <c r="BN217" i="4"/>
  <c r="BN221" i="4" s="1"/>
  <c r="BM217" i="4"/>
  <c r="BM221" i="4" s="1"/>
  <c r="BL217" i="4"/>
  <c r="BL221" i="4" s="1"/>
  <c r="BK217" i="4"/>
  <c r="BK221" i="4" s="1"/>
  <c r="BJ217" i="4"/>
  <c r="BJ221" i="4" s="1"/>
  <c r="BI217" i="4"/>
  <c r="BI221" i="4" s="1"/>
  <c r="BH217" i="4"/>
  <c r="BH221" i="4" s="1"/>
  <c r="BG217" i="4"/>
  <c r="BG221" i="4" s="1"/>
  <c r="BF217" i="4"/>
  <c r="BF221" i="4" s="1"/>
  <c r="BE217" i="4"/>
  <c r="BE221" i="4" s="1"/>
  <c r="BD217" i="4"/>
  <c r="BD221" i="4" s="1"/>
  <c r="BC217" i="4"/>
  <c r="BC221" i="4" s="1"/>
  <c r="BB217" i="4"/>
  <c r="BB221" i="4" s="1"/>
  <c r="BA217" i="4"/>
  <c r="BA221" i="4" s="1"/>
  <c r="AZ217" i="4"/>
  <c r="AZ221" i="4" s="1"/>
  <c r="AY217" i="4"/>
  <c r="AY221" i="4" s="1"/>
  <c r="AX217" i="4"/>
  <c r="AX221" i="4" s="1"/>
  <c r="AW217" i="4"/>
  <c r="AW221" i="4" s="1"/>
  <c r="AV217" i="4"/>
  <c r="AV221" i="4" s="1"/>
  <c r="AU217" i="4"/>
  <c r="AU221" i="4" s="1"/>
  <c r="AT217" i="4"/>
  <c r="AT221" i="4" s="1"/>
  <c r="AS217" i="4"/>
  <c r="AS221" i="4" s="1"/>
  <c r="AR217" i="4"/>
  <c r="AR221" i="4" s="1"/>
  <c r="AQ217" i="4"/>
  <c r="AQ221" i="4" s="1"/>
  <c r="AP217" i="4"/>
  <c r="AP221" i="4" s="1"/>
  <c r="AO217" i="4"/>
  <c r="AO221" i="4" s="1"/>
  <c r="AN217" i="4"/>
  <c r="AN221" i="4" s="1"/>
  <c r="AM217" i="4"/>
  <c r="AM221" i="4" s="1"/>
  <c r="AL217" i="4"/>
  <c r="AL221" i="4" s="1"/>
  <c r="AK217" i="4"/>
  <c r="AK221" i="4" s="1"/>
  <c r="AJ217" i="4"/>
  <c r="AJ221" i="4" s="1"/>
  <c r="AI217" i="4"/>
  <c r="AI221" i="4" s="1"/>
  <c r="AH217" i="4"/>
  <c r="AH221" i="4" s="1"/>
  <c r="AG217" i="4"/>
  <c r="AG221" i="4" s="1"/>
  <c r="AF217" i="4"/>
  <c r="AF221" i="4" s="1"/>
  <c r="AE217" i="4"/>
  <c r="AE221" i="4" s="1"/>
  <c r="AD217" i="4"/>
  <c r="AD221" i="4" s="1"/>
  <c r="AC217" i="4"/>
  <c r="AC221" i="4" s="1"/>
  <c r="AB217" i="4"/>
  <c r="AB221" i="4" s="1"/>
  <c r="AA217" i="4"/>
  <c r="AA221" i="4" s="1"/>
  <c r="Z217" i="4"/>
  <c r="Z221" i="4" s="1"/>
  <c r="Y217" i="4"/>
  <c r="Y221" i="4" s="1"/>
  <c r="X217" i="4"/>
  <c r="X221" i="4" s="1"/>
  <c r="W217" i="4"/>
  <c r="W221" i="4" s="1"/>
  <c r="V217" i="4"/>
  <c r="V221" i="4" s="1"/>
  <c r="U217" i="4"/>
  <c r="U221" i="4" s="1"/>
  <c r="T217" i="4"/>
  <c r="T221" i="4" s="1"/>
  <c r="S217" i="4"/>
  <c r="S221" i="4" s="1"/>
  <c r="R217" i="4"/>
  <c r="R221" i="4" s="1"/>
  <c r="Q217" i="4"/>
  <c r="Q221" i="4" s="1"/>
  <c r="P217" i="4"/>
  <c r="P221" i="4" s="1"/>
  <c r="O217" i="4"/>
  <c r="O221" i="4" s="1"/>
  <c r="N217" i="4"/>
  <c r="N221" i="4" s="1"/>
  <c r="M217" i="4"/>
  <c r="M221" i="4" s="1"/>
  <c r="L217" i="4"/>
  <c r="L221" i="4" s="1"/>
  <c r="K217" i="4"/>
  <c r="K221" i="4" s="1"/>
  <c r="J217" i="4"/>
  <c r="J221" i="4" s="1"/>
  <c r="I217" i="4"/>
  <c r="I221" i="4" s="1"/>
  <c r="H217" i="4"/>
  <c r="H221" i="4" s="1"/>
  <c r="G217" i="4"/>
  <c r="G221" i="4" s="1"/>
  <c r="F217" i="4"/>
  <c r="F221" i="4" s="1"/>
  <c r="E217" i="4"/>
  <c r="E221" i="4" s="1"/>
  <c r="D215" i="4"/>
  <c r="C215" i="4"/>
  <c r="B215" i="4"/>
  <c r="A215" i="4"/>
  <c r="D214" i="4"/>
  <c r="C214" i="4"/>
  <c r="B214" i="4"/>
  <c r="A214" i="4"/>
  <c r="D213" i="4"/>
  <c r="CY220" i="4" s="1"/>
  <c r="C213" i="4"/>
  <c r="B213" i="4"/>
  <c r="A213" i="4"/>
  <c r="D212" i="4"/>
  <c r="C212" i="4"/>
  <c r="B212" i="4"/>
  <c r="A212" i="4"/>
  <c r="D211" i="4"/>
  <c r="C211" i="4"/>
  <c r="B211" i="4"/>
  <c r="A211" i="4"/>
  <c r="D210" i="4"/>
  <c r="C210" i="4"/>
  <c r="B210" i="4"/>
  <c r="A210" i="4"/>
  <c r="D209" i="4"/>
  <c r="C209" i="4"/>
  <c r="B209" i="4"/>
  <c r="A209" i="4"/>
  <c r="D208" i="4"/>
  <c r="C208" i="4"/>
  <c r="B208" i="4"/>
  <c r="A208" i="4"/>
  <c r="D207" i="4"/>
  <c r="DD218" i="4" s="1"/>
  <c r="C207" i="4"/>
  <c r="B207" i="4"/>
  <c r="A207" i="4"/>
  <c r="D206" i="4"/>
  <c r="DA219" i="4" s="1"/>
  <c r="C206" i="4"/>
  <c r="B206" i="4"/>
  <c r="A206" i="4"/>
  <c r="D205" i="4"/>
  <c r="C205" i="4"/>
  <c r="B205" i="4"/>
  <c r="A205" i="4"/>
  <c r="D204" i="4"/>
  <c r="DF220" i="4" s="1"/>
  <c r="C204" i="4"/>
  <c r="B204" i="4"/>
  <c r="A204" i="4"/>
  <c r="D203" i="4"/>
  <c r="C203" i="4"/>
  <c r="B203" i="4"/>
  <c r="A203" i="4"/>
  <c r="D202" i="4"/>
  <c r="C202" i="4"/>
  <c r="B202" i="4"/>
  <c r="A202" i="4"/>
  <c r="D201" i="4"/>
  <c r="C201" i="4"/>
  <c r="B201" i="4"/>
  <c r="A201" i="4"/>
  <c r="D200" i="4"/>
  <c r="CW220" i="4" s="1"/>
  <c r="C200" i="4"/>
  <c r="B200" i="4"/>
  <c r="A200" i="4"/>
  <c r="D199" i="4"/>
  <c r="CV218" i="4" s="1"/>
  <c r="C199" i="4"/>
  <c r="B199" i="4"/>
  <c r="A199" i="4"/>
  <c r="D198" i="4"/>
  <c r="CU218" i="4" s="1"/>
  <c r="C198" i="4"/>
  <c r="B198" i="4"/>
  <c r="A198" i="4"/>
  <c r="D197" i="4"/>
  <c r="CT219" i="4" s="1"/>
  <c r="C197" i="4"/>
  <c r="B197" i="4"/>
  <c r="A197" i="4"/>
  <c r="D196" i="4"/>
  <c r="C196" i="4"/>
  <c r="B196" i="4"/>
  <c r="A196" i="4"/>
  <c r="D195" i="4"/>
  <c r="C195" i="4"/>
  <c r="B195" i="4"/>
  <c r="A195" i="4"/>
  <c r="D194" i="4"/>
  <c r="C194" i="4"/>
  <c r="B194" i="4"/>
  <c r="A194" i="4"/>
  <c r="D193" i="4"/>
  <c r="C193" i="4"/>
  <c r="B193" i="4"/>
  <c r="A193" i="4"/>
  <c r="D192" i="4"/>
  <c r="C192" i="4"/>
  <c r="B192" i="4"/>
  <c r="A192" i="4"/>
  <c r="D191" i="4"/>
  <c r="C191" i="4"/>
  <c r="B191" i="4"/>
  <c r="A191" i="4"/>
  <c r="D190" i="4"/>
  <c r="CJ220" i="4" s="1"/>
  <c r="C190" i="4"/>
  <c r="B190" i="4"/>
  <c r="A190" i="4"/>
  <c r="D189" i="4"/>
  <c r="C189" i="4"/>
  <c r="B189" i="4"/>
  <c r="A189" i="4"/>
  <c r="D188" i="4"/>
  <c r="CI220" i="4" s="1"/>
  <c r="C188" i="4"/>
  <c r="B188" i="4"/>
  <c r="A188" i="4"/>
  <c r="D187" i="4"/>
  <c r="C187" i="4"/>
  <c r="B187" i="4"/>
  <c r="A187" i="4"/>
  <c r="D186" i="4"/>
  <c r="C186" i="4"/>
  <c r="B186" i="4"/>
  <c r="A186" i="4"/>
  <c r="D185" i="4"/>
  <c r="C185" i="4"/>
  <c r="B185" i="4"/>
  <c r="A185" i="4"/>
  <c r="D184" i="4"/>
  <c r="C184" i="4"/>
  <c r="B184" i="4"/>
  <c r="A184" i="4"/>
  <c r="D183" i="4"/>
  <c r="C183" i="4"/>
  <c r="B183" i="4"/>
  <c r="A183" i="4"/>
  <c r="D182" i="4"/>
  <c r="C182" i="4"/>
  <c r="B182" i="4"/>
  <c r="A182" i="4"/>
  <c r="D181" i="4"/>
  <c r="C181" i="4"/>
  <c r="B181" i="4"/>
  <c r="A181" i="4"/>
  <c r="D180" i="4"/>
  <c r="C180" i="4"/>
  <c r="B180" i="4"/>
  <c r="A180" i="4"/>
  <c r="D179" i="4"/>
  <c r="C179" i="4"/>
  <c r="B179" i="4"/>
  <c r="A179" i="4"/>
  <c r="D178" i="4"/>
  <c r="C178" i="4"/>
  <c r="B178" i="4"/>
  <c r="A178" i="4"/>
  <c r="D177" i="4"/>
  <c r="C177" i="4"/>
  <c r="B177" i="4"/>
  <c r="A177" i="4"/>
  <c r="D176" i="4"/>
  <c r="CF218" i="4" s="1"/>
  <c r="C176" i="4"/>
  <c r="B176" i="4"/>
  <c r="A176" i="4"/>
  <c r="D175" i="4"/>
  <c r="C175" i="4"/>
  <c r="B175" i="4"/>
  <c r="A175" i="4"/>
  <c r="D174" i="4"/>
  <c r="CE218" i="4" s="1"/>
  <c r="C174" i="4"/>
  <c r="B174" i="4"/>
  <c r="A174" i="4"/>
  <c r="D173" i="4"/>
  <c r="C173" i="4"/>
  <c r="B173" i="4"/>
  <c r="A173" i="4"/>
  <c r="D172" i="4"/>
  <c r="C172" i="4"/>
  <c r="B172" i="4"/>
  <c r="A172" i="4"/>
  <c r="D171" i="4"/>
  <c r="CM218" i="4" s="1"/>
  <c r="C171" i="4"/>
  <c r="B171" i="4"/>
  <c r="A171" i="4"/>
  <c r="D170" i="4"/>
  <c r="C170" i="4"/>
  <c r="B170" i="4"/>
  <c r="A170" i="4"/>
  <c r="D169" i="4"/>
  <c r="C169" i="4"/>
  <c r="B169" i="4"/>
  <c r="A169" i="4"/>
  <c r="D168" i="4"/>
  <c r="C168" i="4"/>
  <c r="B168" i="4"/>
  <c r="A168" i="4"/>
  <c r="D167" i="4"/>
  <c r="C167" i="4"/>
  <c r="B167" i="4"/>
  <c r="A167" i="4"/>
  <c r="D166" i="4"/>
  <c r="CD219" i="4" s="1"/>
  <c r="C166" i="4"/>
  <c r="B166" i="4"/>
  <c r="A166" i="4"/>
  <c r="D165" i="4"/>
  <c r="CC219" i="4" s="1"/>
  <c r="C165" i="4"/>
  <c r="B165" i="4"/>
  <c r="A165" i="4"/>
  <c r="D164" i="4"/>
  <c r="C164" i="4"/>
  <c r="B164" i="4"/>
  <c r="A164" i="4"/>
  <c r="D163" i="4"/>
  <c r="C163" i="4"/>
  <c r="B163" i="4"/>
  <c r="A163" i="4"/>
  <c r="D162" i="4"/>
  <c r="CP220" i="4" s="1"/>
  <c r="C162" i="4"/>
  <c r="B162" i="4"/>
  <c r="A162" i="4"/>
  <c r="D161" i="4"/>
  <c r="CH220" i="4" s="1"/>
  <c r="C161" i="4"/>
  <c r="B161" i="4"/>
  <c r="A161" i="4"/>
  <c r="D160" i="4"/>
  <c r="C160" i="4"/>
  <c r="B160" i="4"/>
  <c r="A160" i="4"/>
  <c r="D159" i="4"/>
  <c r="C159" i="4"/>
  <c r="B159" i="4"/>
  <c r="A159" i="4"/>
  <c r="D158" i="4"/>
  <c r="CA220" i="4" s="1"/>
  <c r="C158" i="4"/>
  <c r="B158" i="4"/>
  <c r="A158" i="4"/>
  <c r="D157" i="4"/>
  <c r="C157" i="4"/>
  <c r="B157" i="4"/>
  <c r="A157" i="4"/>
  <c r="D156" i="4"/>
  <c r="CG220" i="4" s="1"/>
  <c r="C156" i="4"/>
  <c r="B156" i="4"/>
  <c r="A156" i="4"/>
  <c r="D155" i="4"/>
  <c r="C155" i="4"/>
  <c r="B155" i="4"/>
  <c r="A155" i="4"/>
  <c r="D154" i="4"/>
  <c r="C154" i="4"/>
  <c r="B154" i="4"/>
  <c r="A154" i="4"/>
  <c r="D153" i="4"/>
  <c r="BX218" i="4" s="1"/>
  <c r="C153" i="4"/>
  <c r="B153" i="4"/>
  <c r="A153" i="4"/>
  <c r="D152" i="4"/>
  <c r="BW218" i="4" s="1"/>
  <c r="C152" i="4"/>
  <c r="B152" i="4"/>
  <c r="A152" i="4"/>
  <c r="D151" i="4"/>
  <c r="C151" i="4"/>
  <c r="B151" i="4"/>
  <c r="A151" i="4"/>
  <c r="D150" i="4"/>
  <c r="C150" i="4"/>
  <c r="B150" i="4"/>
  <c r="A150" i="4"/>
  <c r="D149" i="4"/>
  <c r="C149" i="4"/>
  <c r="B149" i="4"/>
  <c r="A149" i="4"/>
  <c r="D148" i="4"/>
  <c r="BV219" i="4" s="1"/>
  <c r="C148" i="4"/>
  <c r="B148" i="4"/>
  <c r="A148" i="4"/>
  <c r="D147" i="4"/>
  <c r="C147" i="4"/>
  <c r="B147" i="4"/>
  <c r="A147" i="4"/>
  <c r="D146" i="4"/>
  <c r="BP218" i="4" s="1"/>
  <c r="C146" i="4"/>
  <c r="B146" i="4"/>
  <c r="A146" i="4"/>
  <c r="D145" i="4"/>
  <c r="C145" i="4"/>
  <c r="B145" i="4"/>
  <c r="A145" i="4"/>
  <c r="D144" i="4"/>
  <c r="C144" i="4"/>
  <c r="B144" i="4"/>
  <c r="A144" i="4"/>
  <c r="D143" i="4"/>
  <c r="C143" i="4"/>
  <c r="B143" i="4"/>
  <c r="A143" i="4"/>
  <c r="D142" i="4"/>
  <c r="C142" i="4"/>
  <c r="B142" i="4"/>
  <c r="A142" i="4"/>
  <c r="D141" i="4"/>
  <c r="C141" i="4"/>
  <c r="B141" i="4"/>
  <c r="A141" i="4"/>
  <c r="D140" i="4"/>
  <c r="C140" i="4"/>
  <c r="B140" i="4"/>
  <c r="A140" i="4"/>
  <c r="D139" i="4"/>
  <c r="C139" i="4"/>
  <c r="B139" i="4"/>
  <c r="A139" i="4"/>
  <c r="D138" i="4"/>
  <c r="BN219" i="4" s="1"/>
  <c r="C138" i="4"/>
  <c r="B138" i="4"/>
  <c r="A138" i="4"/>
  <c r="D137" i="4"/>
  <c r="C137" i="4"/>
  <c r="B137" i="4"/>
  <c r="A137" i="4"/>
  <c r="D136" i="4"/>
  <c r="C136" i="4"/>
  <c r="B136" i="4"/>
  <c r="A136" i="4"/>
  <c r="D135" i="4"/>
  <c r="C135" i="4"/>
  <c r="B135" i="4"/>
  <c r="A135" i="4"/>
  <c r="D134" i="4"/>
  <c r="C134" i="4"/>
  <c r="B134" i="4"/>
  <c r="A134" i="4"/>
  <c r="D133" i="4"/>
  <c r="C133" i="4"/>
  <c r="B133" i="4"/>
  <c r="A133" i="4"/>
  <c r="D132" i="4"/>
  <c r="C132" i="4"/>
  <c r="B132" i="4"/>
  <c r="A132" i="4"/>
  <c r="D131" i="4"/>
  <c r="C131" i="4"/>
  <c r="B131" i="4"/>
  <c r="A131" i="4"/>
  <c r="D130" i="4"/>
  <c r="C130" i="4"/>
  <c r="B130" i="4"/>
  <c r="A130" i="4"/>
  <c r="D129" i="4"/>
  <c r="C129" i="4"/>
  <c r="B129" i="4"/>
  <c r="A129" i="4"/>
  <c r="D128" i="4"/>
  <c r="BK220" i="4" s="1"/>
  <c r="C128" i="4"/>
  <c r="B128" i="4"/>
  <c r="A128" i="4"/>
  <c r="D127" i="4"/>
  <c r="C127" i="4"/>
  <c r="B127" i="4"/>
  <c r="A127" i="4"/>
  <c r="D126" i="4"/>
  <c r="C126" i="4"/>
  <c r="B126" i="4"/>
  <c r="A126" i="4"/>
  <c r="D125" i="4"/>
  <c r="C125" i="4"/>
  <c r="B125" i="4"/>
  <c r="A125" i="4"/>
  <c r="D124" i="4"/>
  <c r="C124" i="4"/>
  <c r="B124" i="4"/>
  <c r="A124" i="4"/>
  <c r="D123" i="4"/>
  <c r="C123" i="4"/>
  <c r="B123" i="4"/>
  <c r="A123" i="4"/>
  <c r="D122" i="4"/>
  <c r="BF219" i="4" s="1"/>
  <c r="C122" i="4"/>
  <c r="B122" i="4"/>
  <c r="A122" i="4"/>
  <c r="D121" i="4"/>
  <c r="BD220" i="4" s="1"/>
  <c r="C121" i="4"/>
  <c r="B121" i="4"/>
  <c r="A121" i="4"/>
  <c r="D120" i="4"/>
  <c r="C120" i="4"/>
  <c r="B120" i="4"/>
  <c r="A120" i="4"/>
  <c r="D119" i="4"/>
  <c r="BE219" i="4" s="1"/>
  <c r="C119" i="4"/>
  <c r="B119" i="4"/>
  <c r="A119" i="4"/>
  <c r="D118" i="4"/>
  <c r="C118" i="4"/>
  <c r="B118" i="4"/>
  <c r="A118" i="4"/>
  <c r="D117" i="4"/>
  <c r="BC220" i="4" s="1"/>
  <c r="C117" i="4"/>
  <c r="B117" i="4"/>
  <c r="A117" i="4"/>
  <c r="D116" i="4"/>
  <c r="BB220" i="4" s="1"/>
  <c r="C116" i="4"/>
  <c r="B116" i="4"/>
  <c r="A116" i="4"/>
  <c r="D115" i="4"/>
  <c r="AX219" i="4" s="1"/>
  <c r="C115" i="4"/>
  <c r="B115" i="4"/>
  <c r="A115" i="4"/>
  <c r="D114" i="4"/>
  <c r="C114" i="4"/>
  <c r="B114" i="4"/>
  <c r="A114" i="4"/>
  <c r="D113" i="4"/>
  <c r="AZ218" i="4" s="1"/>
  <c r="C113" i="4"/>
  <c r="B113" i="4"/>
  <c r="A113" i="4"/>
  <c r="D112" i="4"/>
  <c r="AY218" i="4" s="1"/>
  <c r="C112" i="4"/>
  <c r="B112" i="4"/>
  <c r="A112" i="4"/>
  <c r="D111" i="4"/>
  <c r="AW219" i="4" s="1"/>
  <c r="C111" i="4"/>
  <c r="B111" i="4"/>
  <c r="A111" i="4"/>
  <c r="D110" i="4"/>
  <c r="C110" i="4"/>
  <c r="B110" i="4"/>
  <c r="A110" i="4"/>
  <c r="D109" i="4"/>
  <c r="AS220" i="4" s="1"/>
  <c r="C109" i="4"/>
  <c r="B109" i="4"/>
  <c r="A109" i="4"/>
  <c r="D108" i="4"/>
  <c r="C108" i="4"/>
  <c r="B108" i="4"/>
  <c r="A108" i="4"/>
  <c r="D107" i="4"/>
  <c r="C107" i="4"/>
  <c r="B107" i="4"/>
  <c r="A107" i="4"/>
  <c r="D106" i="4"/>
  <c r="C106" i="4"/>
  <c r="B106" i="4"/>
  <c r="A106" i="4"/>
  <c r="D105" i="4"/>
  <c r="C105" i="4"/>
  <c r="B105" i="4"/>
  <c r="A105" i="4"/>
  <c r="D104" i="4"/>
  <c r="C104" i="4"/>
  <c r="B104" i="4"/>
  <c r="A104" i="4"/>
  <c r="D103" i="4"/>
  <c r="C103" i="4"/>
  <c r="B103" i="4"/>
  <c r="A103" i="4"/>
  <c r="D102" i="4"/>
  <c r="C102" i="4"/>
  <c r="B102" i="4"/>
  <c r="A102" i="4"/>
  <c r="D101" i="4"/>
  <c r="C101" i="4"/>
  <c r="B101" i="4"/>
  <c r="A101" i="4"/>
  <c r="D100" i="4"/>
  <c r="C100" i="4"/>
  <c r="B100" i="4"/>
  <c r="A100" i="4"/>
  <c r="D99" i="4"/>
  <c r="C99" i="4"/>
  <c r="B99" i="4"/>
  <c r="A99" i="4"/>
  <c r="D98" i="4"/>
  <c r="C98" i="4"/>
  <c r="B98" i="4"/>
  <c r="A98" i="4"/>
  <c r="D97" i="4"/>
  <c r="C97" i="4"/>
  <c r="B97" i="4"/>
  <c r="A97" i="4"/>
  <c r="D96" i="4"/>
  <c r="AP219" i="4" s="1"/>
  <c r="C96" i="4"/>
  <c r="B96" i="4"/>
  <c r="A96" i="4"/>
  <c r="D95" i="4"/>
  <c r="C95" i="4"/>
  <c r="B95" i="4"/>
  <c r="A95" i="4"/>
  <c r="D94" i="4"/>
  <c r="C94" i="4"/>
  <c r="B94" i="4"/>
  <c r="A94" i="4"/>
  <c r="D93" i="4"/>
  <c r="C93" i="4"/>
  <c r="B93" i="4"/>
  <c r="A93" i="4"/>
  <c r="D92" i="4"/>
  <c r="C92" i="4"/>
  <c r="B92" i="4"/>
  <c r="A92" i="4"/>
  <c r="D91" i="4"/>
  <c r="C91" i="4"/>
  <c r="B91" i="4"/>
  <c r="A91" i="4"/>
  <c r="D90" i="4"/>
  <c r="C90" i="4"/>
  <c r="B90" i="4"/>
  <c r="A90" i="4"/>
  <c r="D89" i="4"/>
  <c r="C89" i="4"/>
  <c r="B89" i="4"/>
  <c r="A89" i="4"/>
  <c r="D88" i="4"/>
  <c r="C88" i="4"/>
  <c r="B88" i="4"/>
  <c r="A88" i="4"/>
  <c r="D87" i="4"/>
  <c r="C87" i="4"/>
  <c r="B87" i="4"/>
  <c r="A87" i="4"/>
  <c r="D86" i="4"/>
  <c r="AT220" i="4" s="1"/>
  <c r="C86" i="4"/>
  <c r="B86" i="4"/>
  <c r="A86" i="4"/>
  <c r="D85" i="4"/>
  <c r="AM220" i="4" s="1"/>
  <c r="C85" i="4"/>
  <c r="B85" i="4"/>
  <c r="A85" i="4"/>
  <c r="D84" i="4"/>
  <c r="AL220" i="4" s="1"/>
  <c r="C84" i="4"/>
  <c r="B84" i="4"/>
  <c r="A84" i="4"/>
  <c r="D83" i="4"/>
  <c r="C83" i="4"/>
  <c r="B83" i="4"/>
  <c r="A83" i="4"/>
  <c r="D82" i="4"/>
  <c r="C82" i="4"/>
  <c r="B82" i="4"/>
  <c r="A82" i="4"/>
  <c r="D81" i="4"/>
  <c r="C81" i="4"/>
  <c r="B81" i="4"/>
  <c r="A81" i="4"/>
  <c r="D80" i="4"/>
  <c r="AJ218" i="4" s="1"/>
  <c r="C80" i="4"/>
  <c r="B80" i="4"/>
  <c r="A80" i="4"/>
  <c r="D79" i="4"/>
  <c r="C79" i="4"/>
  <c r="B79" i="4"/>
  <c r="A79" i="4"/>
  <c r="D78" i="4"/>
  <c r="AH219" i="4" s="1"/>
  <c r="C78" i="4"/>
  <c r="B78" i="4"/>
  <c r="A78" i="4"/>
  <c r="D77" i="4"/>
  <c r="C77" i="4"/>
  <c r="B77" i="4"/>
  <c r="A77" i="4"/>
  <c r="D76" i="4"/>
  <c r="AK220" i="4" s="1"/>
  <c r="C76" i="4"/>
  <c r="B76" i="4"/>
  <c r="A76" i="4"/>
  <c r="D75" i="4"/>
  <c r="AF220" i="4" s="1"/>
  <c r="C75" i="4"/>
  <c r="B75" i="4"/>
  <c r="A75" i="4"/>
  <c r="D74" i="4"/>
  <c r="AE220" i="4" s="1"/>
  <c r="C74" i="4"/>
  <c r="B74" i="4"/>
  <c r="A74" i="4"/>
  <c r="D73" i="4"/>
  <c r="C73" i="4"/>
  <c r="B73" i="4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X220" i="4" s="1"/>
  <c r="C67" i="4"/>
  <c r="B67" i="4"/>
  <c r="A67" i="4"/>
  <c r="D66" i="4"/>
  <c r="C66" i="4"/>
  <c r="B66" i="4"/>
  <c r="A66" i="4"/>
  <c r="D65" i="4"/>
  <c r="AC220" i="4" s="1"/>
  <c r="C65" i="4"/>
  <c r="B65" i="4"/>
  <c r="A65" i="4"/>
  <c r="D64" i="4"/>
  <c r="C64" i="4"/>
  <c r="B64" i="4"/>
  <c r="A64" i="4"/>
  <c r="D63" i="4"/>
  <c r="C63" i="4"/>
  <c r="B63" i="4"/>
  <c r="A63" i="4"/>
  <c r="D62" i="4"/>
  <c r="U220" i="4" s="1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W220" i="4" s="1"/>
  <c r="C58" i="4"/>
  <c r="B58" i="4"/>
  <c r="A58" i="4"/>
  <c r="D57" i="4"/>
  <c r="C57" i="4"/>
  <c r="B57" i="4"/>
  <c r="A57" i="4"/>
  <c r="D56" i="4"/>
  <c r="C56" i="4"/>
  <c r="B56" i="4"/>
  <c r="A56" i="4"/>
  <c r="D55" i="4"/>
  <c r="C55" i="4"/>
  <c r="B55" i="4"/>
  <c r="A55" i="4"/>
  <c r="D54" i="4"/>
  <c r="V220" i="4" s="1"/>
  <c r="C54" i="4"/>
  <c r="B54" i="4"/>
  <c r="A54" i="4"/>
  <c r="D53" i="4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T218" i="4" s="1"/>
  <c r="C48" i="4"/>
  <c r="B48" i="4"/>
  <c r="A48" i="4"/>
  <c r="D47" i="4"/>
  <c r="C47" i="4"/>
  <c r="B47" i="4"/>
  <c r="A47" i="4"/>
  <c r="D46" i="4"/>
  <c r="Z219" i="4" s="1"/>
  <c r="C46" i="4"/>
  <c r="B46" i="4"/>
  <c r="A46" i="4"/>
  <c r="D45" i="4"/>
  <c r="C45" i="4"/>
  <c r="B45" i="4"/>
  <c r="A45" i="4"/>
  <c r="D44" i="4"/>
  <c r="N220" i="4" s="1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L218" i="4" s="1"/>
  <c r="C35" i="4"/>
  <c r="B35" i="4"/>
  <c r="A35" i="4"/>
  <c r="D34" i="4"/>
  <c r="Q219" i="4" s="1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H220" i="4" s="1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J219" i="4" s="1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I219" i="4" s="1"/>
  <c r="C10" i="4"/>
  <c r="B10" i="4"/>
  <c r="A10" i="4"/>
  <c r="D9" i="4"/>
  <c r="C9" i="4"/>
  <c r="B9" i="4"/>
  <c r="A9" i="4"/>
  <c r="D8" i="4"/>
  <c r="G220" i="4" s="1"/>
  <c r="C8" i="4"/>
  <c r="B8" i="4"/>
  <c r="A8" i="4"/>
  <c r="D7" i="4"/>
  <c r="C7" i="4"/>
  <c r="B7" i="4"/>
  <c r="A7" i="4"/>
  <c r="D6" i="4"/>
  <c r="F220" i="4" s="1"/>
  <c r="C6" i="4"/>
  <c r="B6" i="4"/>
  <c r="A6" i="4"/>
  <c r="D5" i="4"/>
  <c r="C5" i="4"/>
  <c r="B5" i="4"/>
  <c r="A5" i="4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34" i="2" l="1"/>
  <c r="F34" i="2"/>
  <c r="G34" i="2"/>
  <c r="Y219" i="4"/>
  <c r="AB218" i="4"/>
  <c r="O220" i="4"/>
  <c r="P220" i="4"/>
  <c r="AD220" i="4"/>
  <c r="AV220" i="4"/>
  <c r="AN220" i="4"/>
  <c r="AO219" i="4"/>
  <c r="AQ218" i="4"/>
  <c r="AR218" i="4"/>
  <c r="BG218" i="4"/>
  <c r="BL220" i="4"/>
  <c r="CL219" i="4"/>
  <c r="BM219" i="4"/>
  <c r="BO218" i="4"/>
  <c r="BR220" i="4"/>
  <c r="BS220" i="4"/>
  <c r="BT220" i="4"/>
  <c r="CS219" i="4"/>
  <c r="CN218" i="4"/>
  <c r="CB220" i="4"/>
  <c r="CQ220" i="4"/>
  <c r="CR220" i="4"/>
  <c r="CK219" i="4"/>
  <c r="DE220" i="4"/>
  <c r="DB219" i="4"/>
  <c r="CZ220" i="4"/>
  <c r="CX220" i="4"/>
  <c r="E218" i="4"/>
  <c r="M218" i="4"/>
  <c r="U218" i="4"/>
  <c r="AC218" i="4"/>
  <c r="AK218" i="4"/>
  <c r="AS218" i="4"/>
  <c r="BA218" i="4"/>
  <c r="BI218" i="4"/>
  <c r="BQ218" i="4"/>
  <c r="BY218" i="4"/>
  <c r="CG218" i="4"/>
  <c r="CO218" i="4"/>
  <c r="CW218" i="4"/>
  <c r="DE218" i="4"/>
  <c r="K219" i="4"/>
  <c r="S219" i="4"/>
  <c r="AA219" i="4"/>
  <c r="AI219" i="4"/>
  <c r="AQ219" i="4"/>
  <c r="AY219" i="4"/>
  <c r="BG219" i="4"/>
  <c r="BO219" i="4"/>
  <c r="BW219" i="4"/>
  <c r="CE219" i="4"/>
  <c r="CM219" i="4"/>
  <c r="CU219" i="4"/>
  <c r="DC219" i="4"/>
  <c r="I220" i="4"/>
  <c r="Q220" i="4"/>
  <c r="Y220" i="4"/>
  <c r="AG220" i="4"/>
  <c r="AO220" i="4"/>
  <c r="AW220" i="4"/>
  <c r="BE220" i="4"/>
  <c r="BM220" i="4"/>
  <c r="BU220" i="4"/>
  <c r="CC220" i="4"/>
  <c r="CK220" i="4"/>
  <c r="CS220" i="4"/>
  <c r="DA220" i="4"/>
  <c r="F218" i="4"/>
  <c r="N218" i="4"/>
  <c r="V218" i="4"/>
  <c r="AD218" i="4"/>
  <c r="AL218" i="4"/>
  <c r="AT218" i="4"/>
  <c r="BB218" i="4"/>
  <c r="BJ218" i="4"/>
  <c r="BR218" i="4"/>
  <c r="BZ218" i="4"/>
  <c r="CH218" i="4"/>
  <c r="CP218" i="4"/>
  <c r="CX218" i="4"/>
  <c r="DF218" i="4"/>
  <c r="L219" i="4"/>
  <c r="T219" i="4"/>
  <c r="AB219" i="4"/>
  <c r="AJ219" i="4"/>
  <c r="AR219" i="4"/>
  <c r="AZ219" i="4"/>
  <c r="BH219" i="4"/>
  <c r="BP219" i="4"/>
  <c r="BX219" i="4"/>
  <c r="CF219" i="4"/>
  <c r="CN219" i="4"/>
  <c r="CV219" i="4"/>
  <c r="DD219" i="4"/>
  <c r="J220" i="4"/>
  <c r="R220" i="4"/>
  <c r="Z220" i="4"/>
  <c r="AH220" i="4"/>
  <c r="AP220" i="4"/>
  <c r="AX220" i="4"/>
  <c r="BF220" i="4"/>
  <c r="BN220" i="4"/>
  <c r="BV220" i="4"/>
  <c r="CD220" i="4"/>
  <c r="CL220" i="4"/>
  <c r="CT220" i="4"/>
  <c r="DB220" i="4"/>
  <c r="G218" i="4"/>
  <c r="O218" i="4"/>
  <c r="W218" i="4"/>
  <c r="AE218" i="4"/>
  <c r="AM218" i="4"/>
  <c r="AU218" i="4"/>
  <c r="BC218" i="4"/>
  <c r="BK218" i="4"/>
  <c r="BS218" i="4"/>
  <c r="CA218" i="4"/>
  <c r="CI218" i="4"/>
  <c r="CQ218" i="4"/>
  <c r="CY218" i="4"/>
  <c r="E219" i="4"/>
  <c r="M219" i="4"/>
  <c r="U219" i="4"/>
  <c r="AC219" i="4"/>
  <c r="AK219" i="4"/>
  <c r="AS219" i="4"/>
  <c r="BA219" i="4"/>
  <c r="BI219" i="4"/>
  <c r="BQ219" i="4"/>
  <c r="BY219" i="4"/>
  <c r="CG219" i="4"/>
  <c r="CO219" i="4"/>
  <c r="CW219" i="4"/>
  <c r="DE219" i="4"/>
  <c r="K220" i="4"/>
  <c r="S220" i="4"/>
  <c r="AA220" i="4"/>
  <c r="AI220" i="4"/>
  <c r="AQ220" i="4"/>
  <c r="AY220" i="4"/>
  <c r="BG220" i="4"/>
  <c r="BO220" i="4"/>
  <c r="BW220" i="4"/>
  <c r="CE220" i="4"/>
  <c r="CM220" i="4"/>
  <c r="CU220" i="4"/>
  <c r="DC220" i="4"/>
  <c r="H218" i="4"/>
  <c r="P218" i="4"/>
  <c r="X218" i="4"/>
  <c r="AF218" i="4"/>
  <c r="AN218" i="4"/>
  <c r="AV218" i="4"/>
  <c r="BD218" i="4"/>
  <c r="BL218" i="4"/>
  <c r="BT218" i="4"/>
  <c r="CB218" i="4"/>
  <c r="CJ218" i="4"/>
  <c r="CR218" i="4"/>
  <c r="CZ218" i="4"/>
  <c r="F219" i="4"/>
  <c r="N219" i="4"/>
  <c r="V219" i="4"/>
  <c r="AD219" i="4"/>
  <c r="AL219" i="4"/>
  <c r="AT219" i="4"/>
  <c r="BB219" i="4"/>
  <c r="BJ219" i="4"/>
  <c r="BR219" i="4"/>
  <c r="BZ219" i="4"/>
  <c r="CH219" i="4"/>
  <c r="CP219" i="4"/>
  <c r="CX219" i="4"/>
  <c r="DF219" i="4"/>
  <c r="L220" i="4"/>
  <c r="T220" i="4"/>
  <c r="AB220" i="4"/>
  <c r="AJ220" i="4"/>
  <c r="AR220" i="4"/>
  <c r="AZ220" i="4"/>
  <c r="BH220" i="4"/>
  <c r="BP220" i="4"/>
  <c r="BX220" i="4"/>
  <c r="CF220" i="4"/>
  <c r="CN220" i="4"/>
  <c r="CV220" i="4"/>
  <c r="DD220" i="4"/>
  <c r="I218" i="4"/>
  <c r="Q218" i="4"/>
  <c r="Y218" i="4"/>
  <c r="AG218" i="4"/>
  <c r="AO218" i="4"/>
  <c r="AW218" i="4"/>
  <c r="BE218" i="4"/>
  <c r="BM218" i="4"/>
  <c r="BU218" i="4"/>
  <c r="CC218" i="4"/>
  <c r="CK218" i="4"/>
  <c r="CS218" i="4"/>
  <c r="DA218" i="4"/>
  <c r="G219" i="4"/>
  <c r="O219" i="4"/>
  <c r="W219" i="4"/>
  <c r="AE219" i="4"/>
  <c r="AM219" i="4"/>
  <c r="AU219" i="4"/>
  <c r="BC219" i="4"/>
  <c r="BK219" i="4"/>
  <c r="BS219" i="4"/>
  <c r="CA219" i="4"/>
  <c r="CI219" i="4"/>
  <c r="CQ219" i="4"/>
  <c r="CY219" i="4"/>
  <c r="E220" i="4"/>
  <c r="M220" i="4"/>
  <c r="BA220" i="4"/>
  <c r="BI220" i="4"/>
  <c r="BQ220" i="4"/>
  <c r="BY220" i="4"/>
  <c r="CO220" i="4"/>
  <c r="J218" i="4"/>
  <c r="R218" i="4"/>
  <c r="Z218" i="4"/>
  <c r="AH218" i="4"/>
  <c r="AP218" i="4"/>
  <c r="AX218" i="4"/>
  <c r="BF218" i="4"/>
  <c r="BN218" i="4"/>
  <c r="BV218" i="4"/>
  <c r="CD218" i="4"/>
  <c r="CL218" i="4"/>
  <c r="CT218" i="4"/>
  <c r="DB218" i="4"/>
  <c r="H219" i="4"/>
  <c r="P219" i="4"/>
  <c r="X219" i="4"/>
  <c r="AF219" i="4"/>
  <c r="AN219" i="4"/>
  <c r="AV219" i="4"/>
  <c r="BD219" i="4"/>
  <c r="BL219" i="4"/>
  <c r="BT219" i="4"/>
  <c r="CB219" i="4"/>
  <c r="CJ219" i="4"/>
  <c r="CR219" i="4"/>
  <c r="CZ219" i="4"/>
  <c r="BJ220" i="4"/>
  <c r="BZ220" i="4"/>
  <c r="K218" i="4"/>
  <c r="S218" i="4"/>
  <c r="AA218" i="4"/>
  <c r="AI218" i="4"/>
  <c r="DC218" i="4"/>
  <c r="AG219" i="4"/>
  <c r="BU219" i="4"/>
  <c r="AU220" i="4"/>
  <c r="BH218" i="4"/>
  <c r="R219" i="4"/>
</calcChain>
</file>

<file path=xl/sharedStrings.xml><?xml version="1.0" encoding="utf-8"?>
<sst xmlns="http://schemas.openxmlformats.org/spreadsheetml/2006/main" count="4817" uniqueCount="1860">
  <si>
    <t>Bank API — Test Planı (bitirmə layihəsi, API hissəsi)</t>
  </si>
  <si>
    <t>Versiya 0.5 · 16.10.2026 · Status: Mərhələ 1–4 tamamlandı — 10 task, 211 test case manual icra olunub (CallMan, 211/211 Pass) və hamısı müəllimin Gauge arxitekturası ilə avtomatlaşdırılıb (RestAssured, mvn test — 211/211 Pass); 3 bug tapılıb (sənəd/kataloq ilə faktiki davranış uyğunsuzluğu — 'Bug Reports' sheet-i), BUG-API-001 ayrıca 'known-bug' avtomat testi ilə təkrarlanır; növbəti: təqdimat</t>
  </si>
  <si>
    <t>1. Məqsəd və əhatə</t>
  </si>
  <si>
    <t>Test obyekti</t>
  </si>
  <si>
    <t>Bank sandbox REST API — https://api.anarabbas.com. Backlog: 10 task, 3 epic, 37 SP.</t>
  </si>
  <si>
    <t>Əhatə (in scope)</t>
  </si>
  <si>
    <t>EPIC-1 Saxlanmış alıcılar (GRAD-101…103) · EPIC-2 Virtual kartlar (4 task) · EPIC-3 Kommunal ödənişlər (3 task). Bütün backlog dizayn olunub: EPIC-1 (GRAD-101…103), EPIC-2 (GRAD-201…204), EPIC-3 (GRAD-301 kataloq, GRAD-302 ödəniş, GRAD-303 tarixçə).</t>
  </si>
  <si>
    <t>Əhatədən kənar</t>
  </si>
  <si>
    <t>Yük/performans testi (rate limit 600 sorğu/10 san yalnız 429 cavabının formatı üzrə yoxlana bilər), təhlükəsizlik hücumları, UI.</t>
  </si>
  <si>
    <t>2. Yanaşma</t>
  </si>
  <si>
    <t>Test səviyyəsi</t>
  </si>
  <si>
    <t>API (black-box) — sənəddəki user story, parametr qaydaları, xəta cədvəli və acceptance criteria əsasında.</t>
  </si>
  <si>
    <t>Dizayn texnikaları</t>
  </si>
  <si>
    <t>Equivalence Partitioning, Boundary Value Analysis, Decision Table (yoxlama ardıcıllığı), State Transition (GRAD-203).</t>
  </si>
  <si>
    <t>Assertion qaydası</t>
  </si>
  <si>
    <t>Status kodu + body-dəki code (mətnə yox, code-a assert); validasiyada details[].field; uğurlu cavabda sxem (sahələr və tiplər).</t>
  </si>
  <si>
    <t>Manual → avtomat</t>
  </si>
  <si>
    <t>Mərhələ 3: bütün case-lər CallMan-da manual icra olunur (Collection Runner). Mərhələ 4: 211 case müəllimin verdiyi Gauge Test Automation layihəsinə köçürülüb — hər task üçün bir .spec faylı (specs/bank-api), təkrarlanan login addımları concept-də (bank.cpt), request body-lər JSON faylında, cavab sxemi JSON schema ilə; əlavə addımlar README §10 qaydası ilə (helper + imp). Tapılan bug ayrıca specs/bank-api/known_bugs.spec faylında 'known-bug' tag-ı ilə avtomatlaşdırılıb: əsas run-dan çıxarılır (mvn test "-Dgauge.specs.dir=specs/bank-api" "-Dtags=!known-bug" → 211/211 Pass) və ayrıca işlədilir ("-Dtags=known-bug" → bug düzələnə qədər gözlənilən FAIL).</t>
  </si>
  <si>
    <t>Prioritet</t>
  </si>
  <si>
    <t>P1 — əsas axın və təhlükəsizlik (201, 401, 409/422 biznes qaydaları) → P2 — validasiya → P3/P4 — edge və yoxlama ardıcıllığı.</t>
  </si>
  <si>
    <t>3. Mühit və data</t>
  </si>
  <si>
    <t>Mühit</t>
  </si>
  <si>
    <t>Base URL https://api.anarabbas.com · CallMan (collection + environment export) · Java 17 + Maven + Gauge + RestAssured (müəllimin arxitekturası, dəyişdirilmədən) · Gauge HTML report (reports/html-report).</t>
  </si>
  <si>
    <t>Test istifadəçiləri</t>
  </si>
  <si>
    <t>admin@test.com (acc_001 · AZN) · user1@test.com (acc_002 · AZN · 12 500) · user2@test.com (acc_003 · USD · 890.50).</t>
  </si>
  <si>
    <t>Sandbox qaydası</t>
  </si>
  <si>
    <t>Hər POST /auth/login yeni, boş və yalnız həmin token-ə aid mühit açır; token 24 saat keçərlidir. Bir sandbox-da ən çox 10 alıcı yaradıla bilir (AC-10), ona görə CallMan-da hər ssenari qovluğu öz login-i ilə boş sandbox-dan başlayır və case-lər qovluq daxilində ardıcıl işlədilir; LIMIT_REACHED testi də öz login-i ilə boş siyahıdan başlayır. RestAssured-da token @BeforeClass-da alınır.</t>
  </si>
  <si>
    <t>Test datası</t>
  </si>
  <si>
    <t>POST case-ləri unikal, formata uyğun IBAN istifadə edir (AZ10TEST + 20 rəqəm) — case-lər bir-birinin nəticəsinə təsir etmir. GET case-ləri üçün hər ssenari əvvəlcə sabit dataset yaradır (Dataset A — sıralama üçün 8 alıcı, Dataset B — axtarış üçün 5 alıcı); gözlənilən nəticə bu datasetə görə yazılıb.</t>
  </si>
  <si>
    <t>4. Giriş / çıxış meyarları</t>
  </si>
  <si>
    <t>Giriş</t>
  </si>
  <si>
    <t>Task 'Ready for QA'; sənəd oxunub, grooming sualları göndərilib; environment işləyir (login 200).</t>
  </si>
  <si>
    <t>Çıxış</t>
  </si>
  <si>
    <t>Bütün P1/P2 case-lər icra olunub; P1-də açıq bug yoxdur; hər AC ən azı bir case ilə əhatə olunub (RTM); bug-lar sənədləşdirilib.</t>
  </si>
  <si>
    <t>5. Risklər</t>
  </si>
  <si>
    <t>Risk 1</t>
  </si>
  <si>
    <t>Sənəddəki qaranlıq yerlər — gözlənilən nəticə fərziyyəyə əsaslanır; cavab gələndə case-lər yenilənir.</t>
  </si>
  <si>
    <t>Risk 2</t>
  </si>
  <si>
    <t>Sandbox data 24 saatdan sonra silinir; re-login datanı sıfırlayır — icra ardıcıllığı pozularsa nəticə yanlış ola bilər.</t>
  </si>
  <si>
    <t>6. Təhvil veriləcəklər</t>
  </si>
  <si>
    <t>Test plan · Test case-lər + RTM (AC → TC) · CallMan collection + environment · Bug report-lar · Gauge + RestAssured avtomat testləri (GitHub) · Gauge HTML report + təqdimat.</t>
  </si>
  <si>
    <t>Hazırlayan</t>
  </si>
  <si>
    <t>Maleyka Alili</t>
  </si>
  <si>
    <t>Test Scenarios — Bank API (api.anarabbas.com)</t>
  </si>
  <si>
    <t>Ssenari ID</t>
  </si>
  <si>
    <t>Task</t>
  </si>
  <si>
    <t>Test ssenarisi</t>
  </si>
  <si>
    <t>Əlaqəli tələb</t>
  </si>
  <si>
    <t>Test case sayı</t>
  </si>
  <si>
    <t>Pass</t>
  </si>
  <si>
    <t>Fail</t>
  </si>
  <si>
    <t>SC-001</t>
  </si>
  <si>
    <t>GRAD-101 · POST /beneficiaries</t>
  </si>
  <si>
    <t>İstifadəçi etibarlı ad, IBAN, valyuta və istəyə görə ləqəb göndərdikdə alıcı yaradılmalı: 201 Created, normallaşdırılmış IBAN, maskalanmış IBAN, Location header və bütün sahələr cavabda qaytarılmalıdır.</t>
  </si>
  <si>
    <t>P1 — Critical</t>
  </si>
  <si>
    <t>AC-1, AC-2, AC-3, PAR</t>
  </si>
  <si>
    <t>SC-002</t>
  </si>
  <si>
    <t>İstifadəçi fullName sahəsini qaydaya uyğun (2–50 simvol, hərflə başlayan, yalnız hərf/boşluq/defis/apostrof) və ya uyğun olmayan dəyərlə göndərdikdə uyğun dəyər qəbul edilməli, uyğun olmayan 400 VALIDATION_ERROR ilə rədd edilməlidir.</t>
  </si>
  <si>
    <t>P2 — High</t>
  </si>
  <si>
    <t>AC-4, AC-5, AC-6, PAR</t>
  </si>
  <si>
    <t>SC-003</t>
  </si>
  <si>
    <t>İstifadəçi AZ IBAN formatına (AZ + 2 rəqəm + 4 böyük hərf + 20 hərf/rəqəm = 28 simvol) uymayan IBAN göndərdikdə alıcı yaradılmamalı, 400 VALIDATION_ERROR və details-də 'iban' sahəsi qaytarılmalıdır.</t>
  </si>
  <si>
    <t>AC-4, PAR</t>
  </si>
  <si>
    <t>SC-004</t>
  </si>
  <si>
    <t>İstifadəçi currency və nickname sahələrini icazə verilən dəyərlərdən kənar göndərdikdə və ya bir neçə sahə eyni anda səhv olduqda 400 VALIDATION_ERROR qaytarılmalı, details-də hər səhv sahə ayrıca göstərilməlidir.</t>
  </si>
  <si>
    <t>SC-005</t>
  </si>
  <si>
    <t>İstifadəçi tokensiz, saxta tokenlə və ya etibarsız JSON ilə sorğu göndərdikdə sorğu rədd edilməli və xətalar sənəddəki yoxlama ardıcıllığı ilə (auth → JSON → validasiya → biznes qaydaları) qaytarılmalıdır.</t>
  </si>
  <si>
    <t>ERR, ORD, GEN</t>
  </si>
  <si>
    <t>SC-006</t>
  </si>
  <si>
    <t>İstifadəçi artıq siyahıda olan IBAN-ı və ya ləqəbi, öz hesabının IBAN-ını göndərdikdə və ya siyahıda 10 alıcı olduqda alıcı yaradılmamalı, uyğun biznes xətası (409/422) code ilə qaytarılmalıdır.</t>
  </si>
  <si>
    <t>AC-7, AC-8, AC-9, AC-10, ORD</t>
  </si>
  <si>
    <t>SC-007</t>
  </si>
  <si>
    <t>GRAD-102 · GET /beneficiaries</t>
  </si>
  <si>
    <t>İstifadəçi alıcılar siyahısını parametrsiz və ya sort/order parametrləri ilə istədikdə 200 qaytarılmalı, total = items sayı olmalı, siyahı defolt olaraq ən yeni birinci, fullName üzrə isə Azərbaycan əlifbası sırası ilə düzülməlidir.</t>
  </si>
  <si>
    <t>AC-1, AC-2, PAR</t>
  </si>
  <si>
    <t>SC-008</t>
  </si>
  <si>
    <t>İstifadəçi q parametri ilə (ən azı 2 simvol) axtarış etdikdə ad və ya ləqəbində bu mətn olan alıcılar böyük-kiçik hərf və I / İ / ı fərqi nəzərə alınmadan qaytarılmalı, heç nə tapılmadıqda 200 və boş siyahı qaytarılmalıdır.</t>
  </si>
  <si>
    <t>AC-4, AC-5, AC-7, PAR</t>
  </si>
  <si>
    <t>SC-009</t>
  </si>
  <si>
    <t>İstifadəçi currency filtrini təkbaşına və ya q / sort ilə birlikdə istifadə etdikdə yalnız bütün şərtlərə uyğun (AND) alıcılar qaytarılmalı, başqa istifadəçinin alıcıları heç vaxt görünməməlidir.</t>
  </si>
  <si>
    <t>AC-3, NOTE, GEN</t>
  </si>
  <si>
    <t>SC-010</t>
  </si>
  <si>
    <t>İstifadəçi icazəsiz parametr dəyəri göndərdikdə və ya token olmadan sorğu göndərdikdə siyahı qaytarılmamalı, 400 VALIDATION_ERROR (hər səhv parametr details-də) və ya 401 qaytarılmalıdır.</t>
  </si>
  <si>
    <t>AC-6, ERR, PAR</t>
  </si>
  <si>
    <t>SC-011</t>
  </si>
  <si>
    <t>GRAD-103 · DELETE /beneficiaries/{id}</t>
  </si>
  <si>
    <t>İstifadəçi öz alıcısını sildikdə 204 No Content (boş body) qaytarılmalı, alıcı siyahıdan çıxmalı, eyni id ilə təkrar silmə 404 NOT_FOUND verməli; silinmiş alıcının yeri (10 limiti) və IBAN-ı yenidən istifadə oluna bilməlidir.</t>
  </si>
  <si>
    <t>AC-1, AC-2, AC-3, INT</t>
  </si>
  <si>
    <t>SC-012</t>
  </si>
  <si>
    <t>İstifadəçi mövcud olmayan, səhv formatlı və ya başqa istifadəçiyə aid id ilə, yaxud tokensiz silmə sorğusu göndərdikdə heç bir alıcı silinməməli, 404 NOT_FOUND (403 yox) və ya 401 qaytarılmalıdır.</t>
  </si>
  <si>
    <t>AC-4, ERR, GEN</t>
  </si>
  <si>
    <t>SC-013</t>
  </si>
  <si>
    <t>GRAD-201 · POST /cards</t>
  </si>
  <si>
    <t>İstifadəçi öz hesabından 1.00–1000.00 aralığında məbləğ yükləyərək kart buraxdıqda 201 qaytarılmalı: kart ACTIVE, balans = yüklənən məbləğ, limitlər 500/300, maskalı PAN və 3 il sonrakı expiry ilə yaradılmalı, əsas hesabın balansı isə dəyişməməlidir.</t>
  </si>
  <si>
    <t>AC-1, AC-2, NOTE</t>
  </si>
  <si>
    <t>SC-014</t>
  </si>
  <si>
    <t>İstifadəçi initialAmount sahəsini sərhəd daxilində (1.00, 1000.00) göndərdikdə kart yaradılmalı; sərhəddən kənar, 2-dən çox onluqlu, mətn və ya boş dəyərdə 400 VALIDATION_ERROR qaytarılmalıdır.</t>
  </si>
  <si>
    <t>AC-3, AC-4, PAR</t>
  </si>
  <si>
    <t>SC-015</t>
  </si>
  <si>
    <t>İstifadəçi accountId və label sahələrini səhv göndərdikdə, başqasının və ya mövcud olmayan hesabı seçdikdə, yaxud token/JSON səhv olduqda kart yaradılmamalı, uyğun xəta (400 / 401 / 403 / 404) qaytarılmalıdır.</t>
  </si>
  <si>
    <t>AC-5, PAR, ERR</t>
  </si>
  <si>
    <t>SC-016</t>
  </si>
  <si>
    <t>İstifadəçi hesab balansından böyük məbləğ yüklədikdə və ya artıq 3 ACTIVE/FROZEN kartı olduqda yeni kart yaradılmamalı (422); BLOCKED kartlar limitə sayılmamalıdır.</t>
  </si>
  <si>
    <t>AC-6, AC-7, AC-8, NOTE</t>
  </si>
  <si>
    <t>SC-017</t>
  </si>
  <si>
    <t>GRAD-202 · GET /cards/{id}</t>
  </si>
  <si>
    <t>İstifadəçi öz kartına baxdıqda 200 və POST cavabı ilə eyni (cari) məlumat qaytarılmalı, ödənişdən sonra balans və spentToday yenilənməli; başqa istifadəçinin və ya mövcud olmayan kart üçün 404, tokensiz sorğuda 401 qaytarılmalıdır.</t>
  </si>
  <si>
    <t>AC-1, AC-2, AC-3, ERR</t>
  </si>
  <si>
    <t>SC-018</t>
  </si>
  <si>
    <t>GRAD-203 · POST /cards/{id}/block</t>
  </si>
  <si>
    <t>İstifadəçi kartı TEMPORARY, LOST və ya STOLEN səbəbi ilə bloklamaq istədikdə keçid vəziyyət keçid cədvəlinə uyğun olmalıdır: ACTIVE → FROZEN / BLOCKED, FROZEN → BLOCKED (yenidən TEMPORARY → 409), BLOCKED → həmişə 409 CARD_BLOCKED.</t>
  </si>
  <si>
    <t>AC-1…AC-5, STT</t>
  </si>
  <si>
    <t>SC-019</t>
  </si>
  <si>
    <t>İstifadəçi səbəbi göstərmədən, icazəsiz səbəblə və ya body-siz bloklama sorğusu göndərdikdə kartın vəziyyəti dəyişməməli, 400 qaytarılmalı və xətalar sənəddəki yoxlama ardıcıllığı ilə (JSON → validasiya → NOT_FOUND → status) verilməlidir.</t>
  </si>
  <si>
    <t>AC-6, ERR, ORD</t>
  </si>
  <si>
    <t>SC-020</t>
  </si>
  <si>
    <t>İstifadəçi başqasının, mövcud olmayan və ya tokensiz kart bloklama sorğusu göndərdikdə 404 / 401 qaytarılmalı; dondurulmuş kartın vəziyyəti GET-də dərhal görünməli, FROZEN/BLOCKED kartla ödəniş 422 CARD_NOT_ACTIVE ilə rədd edilməlidir.</t>
  </si>
  <si>
    <t>AC-1, AC-7, ERR</t>
  </si>
  <si>
    <t>SC-021</t>
  </si>
  <si>
    <t>GRAD-204 · POST /cards/{id}/unblock</t>
  </si>
  <si>
    <t>İstifadəçi dondurulmuş (FROZEN) kartı açdıqda kart ACTIVE olmalı, blockReason və blockedAt sıfırlanmalı, ödənişlər bərpa olunmalı; ACTIVE və ya LOST/STOLEN ilə bloklanmış kart açılmamalı (409), başqasının / mövcud olmayan kart üçün 404, tokensiz sorğuda 401 qaytarılmalıdır.</t>
  </si>
  <si>
    <t>AC-1…AC-4, ERR</t>
  </si>
  <si>
    <t>SC-022</t>
  </si>
  <si>
    <t>GRAD-301 · GET /billers</t>
  </si>
  <si>
    <t>İstifadəçi təchizatçılar kataloqunu parametrsiz və ya kateqoriya ilə istədikdə 200 qaytarılmalı: 6 təchizatçı sənəddəki məbləğ aralığı, komissiya qaydası və abunəçi nömrəsi formatı (regex) ilə, kateqoriya filtrində isə yalnız həmin kateqoriya göstərilməli; icazəsiz kateqoriyada 400, tokensiz 401 qaytarılmalıdır.</t>
  </si>
  <si>
    <t>AC-1, AC-2, AC-3, CAT</t>
  </si>
  <si>
    <t>SC-023</t>
  </si>
  <si>
    <t>GRAD-302 · POST /bill-payments</t>
  </si>
  <si>
    <t>İstifadəçi aktiv AZN kartı ilə düzgün təchizatçıya, düzgün abunəçi nömrəsinə və aralıqdakı məbləğlə ödəniş etdikdə 201 qaytarılmalı: komissiya təchizatçının qaydası ilə hesablanmalı, total = amount + fee kartdan çıxılmalı, balans və spentToday dərhal yenilənməli, qəbz nömrəsi ardıcıl artmalıdır.</t>
  </si>
  <si>
    <t>AC-1, AC-2, AC-3, AC-9, AC-10, FEE</t>
  </si>
  <si>
    <t>SC-024</t>
  </si>
  <si>
    <t>İstifadəçi eyni Idempotency-Key ilə ödənişi təkrar göndərdikdə pul ikinci dəfə çıxılmamalı (200, eyni id, Idempotent-Replay); eyni açar fərqli body ilə 409, açar olmadıqda və ya uzunluğu 8–64 xaricində olduqda 400 qaytarılmalı; uğursuz sorğu açarı istifadə etməməlidir.</t>
  </si>
  <si>
    <t>AC-4, AC-5, AC-6, HDR, NOTE</t>
  </si>
  <si>
    <t>SC-025</t>
  </si>
  <si>
    <t>İstifadəçi səhv tipli/formatlı sahə, təchizatçının formatına uymayan abunəçi nömrəsi, aralıqdan kənar məbləğ və ya mövcud olmayan təchizatçı göndərdikdə ödəniş edilməməli, uyğun xəta (400 / 404 / 422) qaytarılmalıdır.</t>
  </si>
  <si>
    <t>AC-7, AC-8, AC-15, PAR, ERR</t>
  </si>
  <si>
    <t>SC-026</t>
  </si>
  <si>
    <t>İstifadəçi başqasının, mövcud olmayan, USD və ya qeyri-aktiv kartla, yaxud tokensiz ödəniş etdikdə ödəniş edilməməli, xətalar sənəddəki yoxlama ardıcıllığı ilə qaytarılmalıdır.</t>
  </si>
  <si>
    <t>AC-14, ERR, ORD</t>
  </si>
  <si>
    <t>SC-027</t>
  </si>
  <si>
    <t>İstifadəçi əməliyyat limitini (300), gündəlik limiti (500) və ya kart balansını aşan ödəniş etdikdə 422 qaytarılmalı; sərhəd dəyərləri qəbul edilməli, limitlər və balans amount üzrə yox, total (amount + fee) üzrə yoxlanmalıdır.</t>
  </si>
  <si>
    <t>AC-11, AC-12, AC-13, NOTE, ORD</t>
  </si>
  <si>
    <t>SC-028</t>
  </si>
  <si>
    <t>GRAD-303 · GET /bill-payments</t>
  </si>
  <si>
    <t>İstifadəçi ödəniş tarixçəsini parametrsiz və ya page/limit ilə istədikdə ödənişlər ən yenidən köhnəyə, səhifələrə düzgün bölünmüş (page, limit, total, totalPages) qaytarılmalı; mövcud olmayan səhifədə boş siyahı, səhv page/limit dəyərində 400, başqa istifadəçiyə heç bir ödəniş görünməməlidir.</t>
  </si>
  <si>
    <t>AC-1, AC-2, AC-3, AC-4, DSC</t>
  </si>
  <si>
    <t>SC-029</t>
  </si>
  <si>
    <t>İstifadəçi tarixçəni təchizatçı, kart və tarix aralığı (Bakı vaxtı, daxil olmaqla) üzrə süzdükdə yalnız bütün şərtlərə uyğun ödənişlər qaytarılmalı, total filtrdən sonrakı ümumi say olmalı; mövcud olmayan və ya ters tarix aralığında 400 qaytarılmalıdır.</t>
  </si>
  <si>
    <t>AC-5, AC-6, AC-7, AC-8, NOTE</t>
  </si>
  <si>
    <t>Cəmi</t>
  </si>
  <si>
    <t>API Test Cases — Bank API (api.anarabbas.com)</t>
  </si>
  <si>
    <t>Test Case ID</t>
  </si>
  <si>
    <t>Başlıq (Title)</t>
  </si>
  <si>
    <t>Test növü</t>
  </si>
  <si>
    <t>Dizayn texnikası</t>
  </si>
  <si>
    <t>Ön şərtlər</t>
  </si>
  <si>
    <t>Test addımları</t>
  </si>
  <si>
    <t>Gözlənilən nəticə</t>
  </si>
  <si>
    <t>Faktiki nəticə</t>
  </si>
  <si>
    <t>Status</t>
  </si>
  <si>
    <t>Avtomat / Manual</t>
  </si>
  <si>
    <t>Səbəb</t>
  </si>
  <si>
    <t>Regression</t>
  </si>
  <si>
    <t>Smoke</t>
  </si>
  <si>
    <t>Bug ID</t>
  </si>
  <si>
    <t>Əlaqəli tələb (AC)</t>
  </si>
  <si>
    <t>Avtomat test (spec faylı)</t>
  </si>
  <si>
    <t>TC_BEN_POS_001</t>
  </si>
  <si>
    <t>Bütün sahələr etibarlı olduqda alıcı yaradılır: 201, cavabda bütün sahələr və Location header qaytarılır</t>
  </si>
  <si>
    <t>Pozitiv · Funksional</t>
  </si>
  <si>
    <t>Equivalence Partitioning (etibarlı sinif)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</si>
  <si>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</t>
  </si>
  <si>
    <t>1. POST {{baseUrl}}/beneficiaries sorğusunu aç
2. Header-lər: Authorization: Bearer {{token}}; Content-Type: application/json
3. Body (raw JSON) sahəsinə test datasını yaz
4. Send bas
5. Status kodunu, cavab body-sini və Location header-i gözlənilən nəticə ilə müqayisə et</t>
  </si>
  <si>
    <t>{"fullName": "Nigar Əliyeva", "iban": "AZ10TEST00000000000000000001", "currency": "AZN", "nickname": "Qardaş"}</t>
  </si>
  <si>
    <t>1. Status 201 Created.
2. Body-də id, fullName, iban, ibanMasked, currency, nickname, createdAt sahələri var.
3. id formatı: 'ben_' + 8 simvol.
4. fullName, iban, currency, nickname göndərilən dəyərlərlə eynidir.
5. createdAt ISO 8601 formatındadır (məs. 2026-10-11T10:15:00.000Z).
6. Location header = /beneficiaries/{id} (id body-dəki id ilə eynidir).</t>
  </si>
  <si>
    <t>201 Created. Body-də bütün 7 sahə var; id 'ben_' + 8 simvol; fullName, iban, currency, nickname sorğu ilə eynidir; createdAt ISO 8601; Location = /beneficiaries/{id}.</t>
  </si>
  <si>
    <t>Avtomat</t>
  </si>
  <si>
    <t>A1 — deterministik status və code yoxlaması</t>
  </si>
  <si>
    <t>Bəli</t>
  </si>
  <si>
    <t>AC-1, PAR</t>
  </si>
  <si>
    <t>specs/bank-api/epic1_grad101_post_beneficiaries.spec</t>
  </si>
  <si>
    <t>TC_BEN_POS_002</t>
  </si>
  <si>
    <t>IBAN boşluqlu və kiçik hərflə göndərildikdə boşluqsuz və böyük hərflə saxlanılır</t>
  </si>
  <si>
    <t>Equivalence Partitioning</t>
  </si>
  <si>
    <t>1. POST {{baseUrl}}/beneficiaries sorğusunu aç
2. Header-lər: Authorization: Bearer {{token}}; Content-Type: application/json
3. Body (raw JSON) sahəsinə test datasını yaz
4. Send bas
5. Status kodunu və cavab body-sini gözlənilən nəticə ilə müqayisə et</t>
  </si>
  <si>
    <t>{"fullName": "Nigar Əliyeva", "iban": "az77 aiib 4006 0019 4401 2345 6789", "currency": "AZN", "nickname": "Rəfiqə"}</t>
  </si>
  <si>
    <t>1. Status 201 Created.
2. Cavabdakı iban = "AZ77AIIB40060019440123456789" (boşluq yoxdur, bütün hərflər böyükdür).</t>
  </si>
  <si>
    <t>201 Created. iban = "AZ77AIIB40060019440123456789" — boşluqlar silinib, hərflər böyükdür.</t>
  </si>
  <si>
    <t>Xeyr</t>
  </si>
  <si>
    <t>AC-2</t>
  </si>
  <si>
    <t>TC_BEN_POS_003</t>
  </si>
  <si>
    <t>Cavabdakı ibanMasked IBAN-ın yalnız ilk 4 və son 4 simvolunu göstərir</t>
  </si>
  <si>
    <t>{"fullName": "Orxan Quliyev", "iban": "AZ55BANK00000000001122334455", "currency": "AZN"}</t>
  </si>
  <si>
    <t>1. Status 201 Created.
2. ibanMasked 'AZ55' ilə başlayır və '4455' ilə bitir.
3. Aradakı simvollar '*' ilə gizlədilib, IBAN-ın orta hissəsindən heç bir rəqəm görünmür.
4. Format sənəddəki nümunə ilə eynidir: "AZ55 **** **** **** **** 4455" (nümunədə 6 qrup var, 28 simvolluq IBAN isə 7 qrupdur).</t>
  </si>
  <si>
    <t>201 Created. ibanMasked = "AZ55 **** **** **** **** 4455" — ilk 4 və son 4 simvol açıqdır, ortada rəqəm yoxdur; format sənəddəki nümunə ilə eynidir (6 qrup).</t>
  </si>
  <si>
    <t>A1 — deterministik cavab; gözlənilən nəticə sənəddəki fərziyyəyə əsaslanır, icrada yoxlanılıb</t>
  </si>
  <si>
    <t>AC-1</t>
  </si>
  <si>
    <t>TC_BEN_POS_004</t>
  </si>
  <si>
    <t>nickname göndərilmədikdə alıcı yaradılır və cavabda "nickname": null qaytarılır</t>
  </si>
  <si>
    <t>Equivalence Partitioning (opsional sahə yoxdur)</t>
  </si>
  <si>
    <t>{"fullName": "Elvin Məmmədov", "iban": "AZ10TEST00000000000000000004", "currency": "AZN"}</t>
  </si>
  <si>
    <t>1. Status 201 Created.
2. Body-də nickname sahəsi var və dəyəri null-dur (boş string və ya sahənin olmaması deyil).</t>
  </si>
  <si>
    <t>201 Created. nickname sahəsi var və dəyəri null-dur.</t>
  </si>
  <si>
    <t>AC-3</t>
  </si>
  <si>
    <t>TC_BEN_POS_005</t>
  </si>
  <si>
    <t>currency USD və EUR olduqda alıcı yaradılır və valyuta cavabda eynilə qaytarılır</t>
  </si>
  <si>
    <t>Equivalence Partitioning (icazəli dəyərlər)</t>
  </si>
  <si>
    <t>1. POST {{baseUrl}}/beneficiaries sorğusunu aç
2. Header-lər: Authorization: Bearer {{token}}; Content-Type: application/json
3. Body (raw JSON) sahəsinə test datasını yaz — hər data sətri üçün ayrıca sorğu göndər
4. Send bas
5. Status kodunu və cavab body-sini gözlənilən nəticə ilə müqayisə et</t>
  </si>
  <si>
    <t>USD: {"fullName": "Kamran Hüseynov", "iban": "AZ10TEST00000000000000000005", "currency": "USD"}
EUR: {"fullName": "Kamran Hüseynov", "iban": "AZ10TEST00000000000000000050", "currency": "EUR"}</t>
  </si>
  <si>
    <t>1. Hər iki sorğuda status 201 Created.
2. Cavabdakı currency uyğun olaraq "USD" və "EUR"-dur.</t>
  </si>
  <si>
    <t>USD: 201, currency = "USD". EUR: 201, currency = "EUR".</t>
  </si>
  <si>
    <t>PAR</t>
  </si>
  <si>
    <t>TC_BEN_BVA_006</t>
  </si>
  <si>
    <t>fullName 2 simvol (aşağı sərhəd) olduqda qəbul edilir</t>
  </si>
  <si>
    <t>BVA · Validasiya</t>
  </si>
  <si>
    <t>Boundary Value Analysis (min = 2)</t>
  </si>
  <si>
    <t>{"fullName": "Al", "iban": "AZ10TEST00000000000000000006", "currency": "AZN"}</t>
  </si>
  <si>
    <t>1. Status 201 Created.
2. Cavabdakı fullName göndərilən dəyərlə eynidir.</t>
  </si>
  <si>
    <t>201 Created. Cavabdakı dəyər göndərilənlə eynidir. Gözlənilən nəticəyə uyğundur.</t>
  </si>
  <si>
    <t>A1 — sərhəd dəyərləri data-driven testə uyğundur</t>
  </si>
  <si>
    <t>AC-5</t>
  </si>
  <si>
    <t>TC_BEN_BVA_007</t>
  </si>
  <si>
    <t>fullName 50 simvol (yuxarı sərhəd) olduqda qəbul edilir</t>
  </si>
  <si>
    <t>Boundary Value Analysis (max = 50)</t>
  </si>
  <si>
    <t>{"fullName": "Abbbbbbbbbbbbbbbbbbbbbbbbbbbbbbbbbbbbbbbbbbbbbbbbb", "iban": "AZ10TEST00000000000000000007", "currency": "AZN"}</t>
  </si>
  <si>
    <t>TC_BEN_BVA_008</t>
  </si>
  <si>
    <t>fullName 1 simvol (min − 1) olduqda 400 VALIDATION_ERROR qaytarılır</t>
  </si>
  <si>
    <t>Boundary Value Analysis (min − 1)</t>
  </si>
  <si>
    <t>{"fullName": "A", "iban": "AZ10TEST00000000000000000008", "currency": "AZN"}</t>
  </si>
  <si>
    <t>1. Status 400.
2. code = "VALIDATION_ERROR".
3. details massivində field = "fullName" olan element var (message boş deyil).
4. Alıcı yaradılmır.</t>
  </si>
  <si>
    <t>400 Bad Request, code = "VALIDATION_ERROR". details-də field = "fullName" var. Gözlənilən nəticəyə uyğundur.</t>
  </si>
  <si>
    <t>TC_BEN_BVA_009</t>
  </si>
  <si>
    <t>fullName 51 simvol (max + 1) olduqda 400 VALIDATION_ERROR qaytarılır</t>
  </si>
  <si>
    <t>Boundary Value Analysis (max + 1)</t>
  </si>
  <si>
    <t>{"fullName": "Abbbbbbbbbbbbbbbbbbbbbbbbbbbbbbbbbbbbbbbbbbbbbbbbbb", "iban": "AZ10TEST00000000000000000009", "currency": "AZN"}</t>
  </si>
  <si>
    <t>TC_BEN_BVA_010</t>
  </si>
  <si>
    <t>fullName trim-dən sonra 1 simvol qaldıqda (" A ") 400 VALIDATION_ERROR qaytarılır</t>
  </si>
  <si>
    <t>P3 — Medium</t>
  </si>
  <si>
    <t>Boundary Value Analysis (uzunluq trim-dən sonra)</t>
  </si>
  <si>
    <t>{"fullName": " A ", "iban": "AZ10TEST00000000000000000010", "currency": "AZN"}</t>
  </si>
  <si>
    <t>1. Status 400.
2. code = "VALIDATION_ERROR".
3. details massivində field = "fullName" olan element var (message boş deyil).
4. Alıcı yaradılmır.
(Göndərilən dəyər 3 simvoldur, amma trim-dən sonra 1 simvol qalır — uzunluq trim-dən sonra hesablanmalıdır.)</t>
  </si>
  <si>
    <t>AC-5, PAR</t>
  </si>
  <si>
    <t>TC_BEN_POS_011</t>
  </si>
  <si>
    <t>fullName Azərbaycan hərfləri, boşluq, defis və apostrof olduqda qəbul edilir</t>
  </si>
  <si>
    <t>Pozitiv · Validasiya</t>
  </si>
  <si>
    <t>Equivalence Partitioning (icazəli simvollar)</t>
  </si>
  <si>
    <t>{"fullName": "Şəhla Qasımova-O'Neil", "iban": "AZ10TEST00000000000000000011", "currency": "AZN"}</t>
  </si>
  <si>
    <t>1. Status 201 Created.
2. Cavabdakı fullName göndərilən dəyərlə eynidir.
3. Azərbaycan hərfləri (Ş, ə, ı) dəyişmədən saxlanılır.</t>
  </si>
  <si>
    <t>TC_BEN_NEG_012</t>
  </si>
  <si>
    <t>fullName hərflə başlamadıqda ("---") 400 VALIDATION_ERROR qaytarılır</t>
  </si>
  <si>
    <t>Neqativ · Validasiya</t>
  </si>
  <si>
    <t>Equivalence Partitioning (etibarsız sinif)</t>
  </si>
  <si>
    <t>{"fullName": "---", "iban": "AZ10TEST00000000000000000012", "currency": "AZN"}</t>
  </si>
  <si>
    <t>AC-6</t>
  </si>
  <si>
    <t>TC_BEN_NEG_013</t>
  </si>
  <si>
    <t>fullName rəqəm olduqda ("Ali2") 400 VALIDATION_ERROR qaytarılır</t>
  </si>
  <si>
    <t>{"fullName": "Ali2", "iban": "AZ10TEST00000000000000000013", "currency": "AZN"}</t>
  </si>
  <si>
    <t>TC_BEN_NEG_014</t>
  </si>
  <si>
    <t>fullName icazəsiz xüsusi simvol olduqda ("Ali@") 400 VALIDATION_ERROR qaytarılır</t>
  </si>
  <si>
    <t>{"fullName": "Ali@", "iban": "AZ10TEST00000000000000000014", "currency": "AZN"}</t>
  </si>
  <si>
    <t>TC_BEN_NEG_015</t>
  </si>
  <si>
    <t>fullName göndərilmədikdə (məcburi sahə yoxdur) 400 VALIDATION_ERROR qaytarılır</t>
  </si>
  <si>
    <t>Equivalence Partitioning (məcburi sahə yoxdur)</t>
  </si>
  <si>
    <t>{"iban": "AZ10TEST00000000000000000015", "currency": "AZN"}</t>
  </si>
  <si>
    <t>TC_BEN_BVA_016</t>
  </si>
  <si>
    <t>IBAN 27 simvol (28 − 1) olduqda 400 VALIDATION_ERROR qaytarılır</t>
  </si>
  <si>
    <t>Boundary Value Analysis (uzunluq 28 − 1)</t>
  </si>
  <si>
    <t>{"fullName": "Leyla Abbasova", "iban": "AZ10TEST0000000000000000000", "currency": "AZN"}</t>
  </si>
  <si>
    <t>1. Status 400.
2. code = "VALIDATION_ERROR".
3. details-də field = "iban" olan element var.
4. Alıcı yaradılmır.</t>
  </si>
  <si>
    <t>400 Bad Request, code = "VALIDATION_ERROR". details-də field = "iban" var. Gözlənilən nəticəyə uyğundur.</t>
  </si>
  <si>
    <t>TC_BEN_BVA_017</t>
  </si>
  <si>
    <t>IBAN 29 simvol (28 + 1) olduqda 400 VALIDATION_ERROR qaytarılır</t>
  </si>
  <si>
    <t>Boundary Value Analysis (uzunluq 28 + 1)</t>
  </si>
  <si>
    <t>{"fullName": "Leyla Abbasova", "iban": "AZ10TEST000000000000000000000", "currency": "AZN"}</t>
  </si>
  <si>
    <t>TC_BEN_NEG_018</t>
  </si>
  <si>
    <t>IBAN 'AZ' ilə başlamadıqda (TR, 28 simvol) 400 VALIDATION_ERROR qaytarılır</t>
  </si>
  <si>
    <t>Equivalence Partitioning (ölkə kodu ≠ AZ)</t>
  </si>
  <si>
    <t>{"fullName": "Leyla Abbasova", "iban": "TR10TEST00000000000000000018", "currency": "AZN"}</t>
  </si>
  <si>
    <t>1. Status 400.
2. code = "VALIDATION_ERROR".
3. details-də field = "iban" olan element var.
4. Alıcı yaradılmır.
(Uzunluq düzgündür — yalnız ölkə kodu səhvdir.)</t>
  </si>
  <si>
    <t>TC_BEN_NEG_019</t>
  </si>
  <si>
    <t>IBAN-da bank kodu (5–8-ci simvollar) hərf əvəzinə rəqəm olduqda 400 VALIDATION_ERROR qaytarılır</t>
  </si>
  <si>
    <t>Equivalence Partitioning (struktur pozulub)</t>
  </si>
  <si>
    <t>{"fullName": "Leyla Abbasova", "iban": "AZ10123400000000000000000019", "currency": "AZN"}</t>
  </si>
  <si>
    <t>1. Status 400.
2. code = "VALIDATION_ERROR".
3. details-də field = "iban" olan element var.
4. Alıcı yaradılmır.
(Uzunluq və ölkə kodu düzgündür — 5–8-ci simvollar '1234' rəqəmdir, qaydaya görə 4 böyük hərf olmalıdır.)</t>
  </si>
  <si>
    <t>TC_BEN_NEG_020</t>
  </si>
  <si>
    <t>IBAN-da icazəsiz simvol ('#') olduqda 400 VALIDATION_ERROR qaytarılır</t>
  </si>
  <si>
    <t>Equivalence Partitioning (icazəsiz simvol)</t>
  </si>
  <si>
    <t>{"fullName": "Leyla Abbasova", "iban": "AZ10TEST0000000000000000002#", "currency": "AZN"}</t>
  </si>
  <si>
    <t>TC_BEN_NEG_021</t>
  </si>
  <si>
    <t>currency icazəli siyahıda olmadıqda ("GBP") 400 VALIDATION_ERROR qaytarılır</t>
  </si>
  <si>
    <t>{"fullName": "Leyla Abbasova", "iban": "AZ10TEST00000000000000000021", "currency": "GBP"}</t>
  </si>
  <si>
    <t>1. Status 400.
2. code = "VALIDATION_ERROR".
3. details-də field = "currency" olan element var.
4. Alıcı yaradılmır.</t>
  </si>
  <si>
    <t>400 Bad Request, code = "VALIDATION_ERROR". details-də field = "currency" var. Gözlənilən nəticəyə uyğundur.</t>
  </si>
  <si>
    <t>TC_BEN_NEG_022</t>
  </si>
  <si>
    <t>currency kiçik hərflə ("azn") göndərildikdə 400 VALIDATION_ERROR qaytarılır</t>
  </si>
  <si>
    <t>Equivalence Partitioning (registr)</t>
  </si>
  <si>
    <t>{"fullName": "Leyla Abbasova", "iban": "AZ10TEST00000000000000000022", "currency": "azn"}</t>
  </si>
  <si>
    <t>1. Status 400.
2. code = "VALIDATION_ERROR".
3. details-də field = "currency" olan element var.
(Fərziyyə: sənəd yalnız AZN | USD | EUR dəyərlərini sadalayır və valyuta üçün normallaşdırma yazmır.)</t>
  </si>
  <si>
    <t>TC_BEN_BVA_023</t>
  </si>
  <si>
    <t>nickname 20 simvol (yuxarı sərhəd) olduqda qəbul edilir</t>
  </si>
  <si>
    <t>Boundary Value Analysis (max = 20)</t>
  </si>
  <si>
    <t>{"fullName": "Leyla Abbasova", "iban": "AZ10TEST00000000000000000023", "currency": "AZN", "nickname": "NNNNNNNNNNNNNNNNNNNN"}</t>
  </si>
  <si>
    <t>1. Status 201 Created.
2. Cavabdakı nickname göndərilən 20 simvollu dəyərlə eynidir.</t>
  </si>
  <si>
    <t>TC_BEN_BVA_024</t>
  </si>
  <si>
    <t>nickname 21 simvol (max + 1) olduqda 400 VALIDATION_ERROR qaytarılır</t>
  </si>
  <si>
    <t>{"fullName": "Leyla Abbasova", "iban": "AZ10TEST00000000000000000024", "currency": "AZN", "nickname": "NNNNNNNNNNNNNNNNNNNNN"}</t>
  </si>
  <si>
    <t>1. Status 400.
2. code = "VALIDATION_ERROR".
3. details-də field = "nickname" olan element var.
4. Alıcı yaradılmır.</t>
  </si>
  <si>
    <t>400 Bad Request, code = "VALIDATION_ERROR". details-də field = "nickname" var. Gözlənilən nəticəyə uyğundur.</t>
  </si>
  <si>
    <t>TC_BEN_BVA_025</t>
  </si>
  <si>
    <t>nickname boş string ("", 0 simvol = min − 1) olduqda 400 VALIDATION_ERROR qaytarılır</t>
  </si>
  <si>
    <t>{"fullName": "Leyla Abbasova", "iban": "AZ10TEST00000000000000000025", "currency": "AZN", "nickname": ""}</t>
  </si>
  <si>
    <t>1. Status 400.
2. code = "VALIDATION_ERROR".
3. details-də field = "nickname" olan element var.
(Fərziyyə: qaydaya görə nickname 1–20 simvoldur; boş string null kimi qəbul edilməməlidir.)</t>
  </si>
  <si>
    <t>TC_BEN_NEG_026</t>
  </si>
  <si>
    <t>Üç sahə eyni anda səhv olduqda details-də hər səhv sahə ayrıca qaytarılır</t>
  </si>
  <si>
    <t>Equivalence Partitioning (çoxlu etibarsız sahə)</t>
  </si>
  <si>
    <t>{"fullName": "A", "iban": "AZ1", "currency": "GBP"}</t>
  </si>
  <si>
    <t>1. Status 400.
2. code = "VALIDATION_ERROR".
3. details massivində 3 element var: field = "fullName", "iban" və "currency" — hər biri bir dəfə.
4. Hər elementdə message sahəsi boş deyil.
5. Səhv olmayan sahə (nickname göndərilməyib) details-də yoxdur.</t>
  </si>
  <si>
    <t>400 Bad Request, code = "VALIDATION_ERROR". details-də 3 element: fullName, iban, currency — hər biri bir dəfə, message boş deyil. Gözlənilən nəticəyə uyğundur.</t>
  </si>
  <si>
    <t>AC-4</t>
  </si>
  <si>
    <t>TC_BEN_NEG_027</t>
  </si>
  <si>
    <t>Authorization header olmadıqda və ya saxta token göndərildikdə 401 qaytarılır</t>
  </si>
  <si>
    <t>Neqativ · Təhlükəsizlik</t>
  </si>
  <si>
    <t>Equivalence Partitioning (etibarsız token sinifləri)</t>
  </si>
  <si>
    <t>1. POST {{baseUrl}}/beneficiaries sorğusunu aç
2. Header: Content-Type: application/json; Authorization — test datasındakı hər sətrə uyğun
3. Body (raw JSON) sahəsinə test datasını yaz — hər data sətri üçün ayrıca sorğu göndər
4. Send bas
5. Status kodunu və cavab body-sini gözlənilən nəticə ilə müqayisə et</t>
  </si>
  <si>
    <t>token yoxdur (Authorization header göndərilmir): {"fullName": "Nigar Əliyeva", "iban": "AZ10TEST00000000000000000027", "currency": "AZN"}
saxta token (Authorization: Bearer fake.token.123): {"fullName": "Nigar Əliyeva", "iban": "AZ10TEST00000000000000000027", "currency": "AZN"}</t>
  </si>
  <si>
    <t>1. Hər iki sorğuda status 401.
2. Alıcı yaradılmır.
(Müddəti bitmiş token 24 saat gözləmə tələb etdiyi üçün bu icrada yoxlanılmır.)</t>
  </si>
  <si>
    <t>Hər iki sorğuda 401 Unauthorized. Gözlənilən nəticəyə uyğundur.</t>
  </si>
  <si>
    <t>ERR, GEN</t>
  </si>
  <si>
    <t>TC_BEN_NEG_028</t>
  </si>
  <si>
    <t>Body sintaktik cəhətdən etibarsız JSON olduqda 400 INVALID_JSON qaytarılır</t>
  </si>
  <si>
    <t>Equivalence Partitioning (etibarsız format)</t>
  </si>
  <si>
    <t xml:space="preserve">Body (raw): {"fullName": "Nigar Əliyeva", "iban": </t>
  </si>
  <si>
    <t>1. Status 400.
2. code = "INVALID_JSON" (VALIDATION_ERROR deyil).</t>
  </si>
  <si>
    <t>400 Bad Request, code = "INVALID_JSON". Gözlənilən nəticəyə uyğundur.</t>
  </si>
  <si>
    <t>ERR</t>
  </si>
  <si>
    <t>TC_BEN_NEG_029</t>
  </si>
  <si>
    <t>Body JSON obyekti deyil, massiv olduqda 400 INVALID_JSON qaytarılır</t>
  </si>
  <si>
    <t>Body (raw): [{"fullName": "Nigar Əliyeva", "iban": "AZ10TEST00000000000000000029", "currency": "AZN"}]</t>
  </si>
  <si>
    <t>1. Status 400.
2. code = "INVALID_JSON" — sənədə görə body JSON obyekti olmalıdır, massiv qəbul edilmir.</t>
  </si>
  <si>
    <t>TC_BEN_EDGE_030</t>
  </si>
  <si>
    <t>Öz IBAN-ı ilə birlikdə fullName də səhv olduqda 400 VALIDATION_ERROR qaytarılır (422 OWN_ACCOUNT deyil)</t>
  </si>
  <si>
    <t>Edge Case · Biznes qaydası</t>
  </si>
  <si>
    <t>Decision Table (yoxlama ardıcıllığı)</t>
  </si>
  <si>
    <t>{"fullName": "A", "iban": "AZ29NABZ00000000137010002855", "currency": "AZN"}</t>
  </si>
  <si>
    <t>1. Status 400.
2. code = "VALIDATION_ERROR" — sahə validasiyası OWN_ACCOUNT yoxlamasından əvvəl gəlir.
3. details-də field = "fullName" var.</t>
  </si>
  <si>
    <t>ORD, AC-9</t>
  </si>
  <si>
    <t>TC_BEN_EDGE_031</t>
  </si>
  <si>
    <t>Həm IBAN, həm də ləqəb artıq mövcud olduqda 409 BENEFICIARY_EXISTS qaytarılır (NICKNAME_TAKEN deyil)</t>
  </si>
  <si>
    <t>1. Ön şərt sorğusu (user1): POST {{baseUrl}}/beneficiaries, body {"fullName": "Murad Əlizadə", "iban": "AZ10TEST00000000000000000031", "currency": "AZN", "nickname": "Dost"} — statusun 201 olduğunu yoxla (CallMan-da bu sorğunu Pre-request script avtomatik göndərir)
2. POST {{baseUrl}}/beneficiaries sorğusunu aç
3. Header-lər: Authorization: Bearer {{token}}; Content-Type: application/json
4. Body (raw JSON) sahəsinə test datasını yaz
5. Send bas
6. Status kodunu və cavab body-sini gözlənilən nəticə ilə müqayisə et</t>
  </si>
  <si>
    <t>{"fullName": "Murad Əlizadə", "iban": "AZ10TEST00000000000000000031", "currency": "AZN", "nickname": "DOST"}</t>
  </si>
  <si>
    <t>1. Ön şərt sorğusu: 201 Created.
2. Əsas sorğu: status 409.
3. code = "BENEFICIARY_EXISTS" — IBAN yoxlaması ləqəb yoxlamasından əvvəl gəlir.</t>
  </si>
  <si>
    <t>Ön şərt sorğusu: 201 Created. Əsas sorğu: 409 Conflict, code = "BENEFICIARY_EXISTS". Gözlənilən nəticəyə uyğundur.</t>
  </si>
  <si>
    <t>ORD, AC-7, AC-8</t>
  </si>
  <si>
    <t>TC_BEN_EDGE_032</t>
  </si>
  <si>
    <t>Token olmadıqda və body etibarsız JSON olduqda 401 qaytarılır (400 INVALID_JSON deyil)</t>
  </si>
  <si>
    <t>P4 — Low</t>
  </si>
  <si>
    <t>Edge Case · Təhlükəsizlik</t>
  </si>
  <si>
    <t>1. POST {{baseUrl}}/beneficiaries sorğusunu aç
2. Header-lər: Authorization header göndərilmir; Content-Type: application/json
3. Body (raw JSON) sahəsinə test datasını yaz
4. Send bas
5. Status kodunu və cavab body-sini gözlənilən nəticə ilə müqayisə et</t>
  </si>
  <si>
    <t xml:space="preserve">Body (raw): {"fullName": </t>
  </si>
  <si>
    <t>1. Status 401 — autentifikasiya JSON yoxlamasından əvvəl gəlir.</t>
  </si>
  <si>
    <t>401 Unauthorized. Gözlənilən nəticəyə uyğundur.</t>
  </si>
  <si>
    <t>ORD, ERR</t>
  </si>
  <si>
    <t>TC_BEN_NEG_033</t>
  </si>
  <si>
    <t>Eyni IBAN ikinci dəfə göndərildikdə 409 BENEFICIARY_EXISTS qaytarılır</t>
  </si>
  <si>
    <t>Neqativ · Biznes qaydası</t>
  </si>
  <si>
    <t>State Transition (alıcı mövcuddur)</t>
  </si>
  <si>
    <t>1. Ön şərt sorğusu (user1): POST {{baseUrl}}/beneficiaries, body {"fullName": "Aysel Kərimova", "iban": "AZ10TEST00000000000000000033", "currency": "AZN"} — statusun 201 olduğunu yoxla (CallMan-da bu sorğunu Pre-request script avtomatik göndərir)
2. POST {{baseUrl}}/beneficiaries sorğusunu aç
3. Header-lər: Authorization: Bearer {{token}}; Content-Type: application/json
4. Body (raw JSON) sahəsinə test datasını yaz
5. Send bas
6. Status kodunu və cavab body-sini gözlənilən nəticə ilə müqayisə et</t>
  </si>
  <si>
    <t>{"fullName": "Aysel Kərimova", "iban": "AZ10TEST00000000000000000033", "currency": "AZN"}</t>
  </si>
  <si>
    <t>1. Ön şərt sorğusu: 201 Created.
2. Əsas sorğu: status 409.
3. code = "BENEFICIARY_EXISTS".
4. İkinci alıcı yaradılmır.</t>
  </si>
  <si>
    <t>AC-7</t>
  </si>
  <si>
    <t>TC_BEN_NEG_034</t>
  </si>
  <si>
    <t>Mövcud IBAN boşluqlu və kiçik hərflə yenidən göndərildikdə 409 BENEFICIARY_EXISTS qaytarılır</t>
  </si>
  <si>
    <t>Equivalence Partitioning (normallaşdırmadan sonra eyni dəyər)</t>
  </si>
  <si>
    <t>1. Ön şərt sorğusu (user1): POST {{baseUrl}}/beneficiaries, body {"fullName": "Aysel Kərimova", "iban": "AZ10TEST00000000000000000034", "currency": "AZN"} — statusun 201 olduğunu yoxla (CallMan-da bu sorğunu Pre-request script avtomatik göndərir)
2. POST {{baseUrl}}/beneficiaries sorğusunu aç
3. Header-lər: Authorization: Bearer {{token}}; Content-Type: application/json
4. Body (raw JSON) sahəsinə test datasını yaz
5. Send bas
6. Status kodunu və cavab body-sini gözlənilən nəticə ilə müqayisə et</t>
  </si>
  <si>
    <t>{"fullName": "Aysel Kərimova", "iban": "az10 test 0000 0000 0000 0000 0034", "currency": "AZN"}</t>
  </si>
  <si>
    <t>1. Ön şərt sorğusu: 201 Created.
2. Əsas sorğu: status 409.
3. code = "BENEFICIARY_EXISTS" — təkrar yoxlaması normallaşdırılmış IBAN üzrə aparılır, formatı dəyişməklə eyni alıcını ikinci dəfə əlavə etmək olmur.</t>
  </si>
  <si>
    <t>AC-7, AC-2</t>
  </si>
  <si>
    <t>TC_BEN_NEG_035</t>
  </si>
  <si>
    <t>Mövcud ləqəb fərqli registrdə ("anam" → "ANAM") göndərildikdə 409 NICKNAME_TAKEN qaytarılır</t>
  </si>
  <si>
    <t>Equivalence Partitioning (registrdən asılı olmayan müqayisə)</t>
  </si>
  <si>
    <t>1. Ön şərt sorğusu (user1): POST {{baseUrl}}/beneficiaries, body {"fullName": "Səbinə Rzayeva", "iban": "AZ10TEST00000000000000000035", "currency": "AZN", "nickname": "anam"} — statusun 201 olduğunu yoxla (CallMan-da bu sorğunu Pre-request script avtomatik göndərir)
2. POST {{baseUrl}}/beneficiaries sorğusunu aç
3. Header-lər: Authorization: Bearer {{token}}; Content-Type: application/json
4. Body (raw JSON) sahəsinə test datasını yaz
5. Send bas
6. Status kodunu və cavab body-sini gözlənilən nəticə ilə müqayisə et</t>
  </si>
  <si>
    <t>{"fullName": "Səbinə Rzayeva", "iban": "AZ10TEST00000000000000000036", "currency": "AZN", "nickname": "ANAM"}</t>
  </si>
  <si>
    <t>1. Ön şərt sorğusu (nickname "anam"): 201 Created.
2. Əsas sorğu (fərqli IBAN, nickname "ANAM"): status 409.
3. code = "NICKNAME_TAKEN".</t>
  </si>
  <si>
    <t>Ön şərt sorğusu: 201 Created. Əsas sorğu: 409 Conflict, code = "NICKNAME_TAKEN". Gözlənilən nəticəyə uyğundur.</t>
  </si>
  <si>
    <t>AC-8</t>
  </si>
  <si>
    <t>TC_BEN_NEG_036</t>
  </si>
  <si>
    <t>user1 öz hesabının IBAN-ını göndərdikdə 422 OWN_ACCOUNT qaytarılır</t>
  </si>
  <si>
    <t>Equivalence Partitioning (öz hesabı)</t>
  </si>
  <si>
    <t>{"fullName": "Özüm Test", "iban": "AZ29NABZ00000000137010002855", "currency": "AZN"}</t>
  </si>
  <si>
    <t>1. Status 422.
2. code = "OWN_ACCOUNT".
3. Alıcı yaradılmır.</t>
  </si>
  <si>
    <t>422 Unprocessable Entity, code = "OWN_ACCOUNT". Gözlənilən nəticəyə uyğundur.</t>
  </si>
  <si>
    <t>AC-9</t>
  </si>
  <si>
    <t>TC_BEN_NEG_037</t>
  </si>
  <si>
    <t>Öz IBAN-ı boşluqlu və kiçik hərflə göndərildikdə də 422 OWN_ACCOUNT qaytarılır</t>
  </si>
  <si>
    <t>Equivalence Partitioning (normallaşdırmadan sonra öz hesabı)</t>
  </si>
  <si>
    <t>{"fullName": "Özüm Test", "iban": "az29 nabz 0000 0000 1370 1000 2855", "currency": "AZN"}</t>
  </si>
  <si>
    <t>1. Status 422.
2. code = "OWN_ACCOUNT" — yoxlama normallaşdırılmış IBAN üzrə aparılır, formatı dəyişməklə qaydadan yan keçmək olmur.</t>
  </si>
  <si>
    <t>AC-9, AC-2</t>
  </si>
  <si>
    <t>TC_BEN_POS_038</t>
  </si>
  <si>
    <t>user1 başqa istifadəçinin (admin) hesab IBAN-ını əlavə etdikdə alıcı yaradılır</t>
  </si>
  <si>
    <t>Pozitiv · Biznes qaydası</t>
  </si>
  <si>
    <t>Equivalence Partitioning (başqasının hesabı)</t>
  </si>
  <si>
    <t>{"fullName": "Admin Hesabı", "iban": "AZ21NABZ00000000137010001944", "currency": "AZN"}</t>
  </si>
  <si>
    <t>1. Status 201 Created — OWN_ACCOUNT yalnız istifadəçinin öz hesabına aiddir.
2. Cavabdakı iban = admin-in IBAN-ı.</t>
  </si>
  <si>
    <t>TC_BEN_EDGE_039</t>
  </si>
  <si>
    <t>user1-in siyahısında olan IBAN-ı user2 öz siyahısına əlavə edə bilir (təkrar yoxlaması istifadəçi üzrədir)</t>
  </si>
  <si>
    <t>Equivalence Partitioning (fərqli istifadəçi)</t>
  </si>
  <si>
    <t>1. Ön şərt sorğusu (user1): POST {{baseUrl}}/beneficiaries, body {"fullName": "Aysel Kərimova", "iban": "AZ10TEST00000000000000000039", "currency": "AZN"} — statusun 201 olduğunu yoxla (CallMan-da bu sorğunu Pre-request script avtomatik göndərir)
2. POST {{baseUrl}}/auth/login göndər (user2) — token-i {{token_user2}}-yə yaz
3. POST {{baseUrl}}/beneficiaries sorğusunu aç
4. Header-lər: Authorization: Bearer {{token_user2}} (user2); Content-Type: application/json
5. Body (raw JSON) sahəsinə test datasını yaz
6. Send bas
7. Status kodunu və cavab body-sini gözlənilən nəticə ilə müqayisə et</t>
  </si>
  <si>
    <t>{"fullName": "Aysel Kərimova", "iban": "AZ10TEST00000000000000000039", "currency": "AZN"}</t>
  </si>
  <si>
    <t>1. Ön şərt sorğusu (user1 tokeni ilə): 201 Created.
2. Əsas sorğu (user2 tokeni ilə, eyni IBAN): status 201 Created — 409 BENEFICIARY_EXISTS qaytarılmır, çünki user2-nin siyahısı ayrıdır.
(Fərziyyə.)</t>
  </si>
  <si>
    <t>Ön şərt sorğusu: 201 Created. Əsas sorğu (user2): 201 Created. Gözlənilən nəticəyə uyğundur.</t>
  </si>
  <si>
    <t>AC-7, GEN</t>
  </si>
  <si>
    <t>TC_BEN_BVA_040</t>
  </si>
  <si>
    <t>Siyahıda 10 alıcı olduqda 11-ci alıcı üçün 422 LIMIT_REACHED və "limit": 10 qaytarılır</t>
  </si>
  <si>
    <t>BVA · Biznes qaydası</t>
  </si>
  <si>
    <t>Boundary Value Analysis (10 = max, 11 = max + 1)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</si>
  <si>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başlayır. Siyahını boşaltmaq üçün bu case-də yeni login edilir</t>
  </si>
  <si>
    <t>1. POST {{baseUrl}}/auth/login göndər (user1) — yeni, boş sandbox açılır; cavabdakı token-i {{token}}-ə yaz
2. 10 alıcı yarat: POST {{baseUrl}}/beneficiaries, body {"fullName": "Limit Test", "iban": "AZ10TEST00000000000000000401" … "…0410", "currency": "AZN"} — hər sorğunun statusunu qeyd et
3. 11-ci alıcı üçün POST {{baseUrl}}/beneficiaries sorğusunu test datasındakı body ilə göndər
4. Status kodunu və cavab body-sini gözlənilən nəticə ilə müqayisə et</t>
  </si>
  <si>
    <t>{"fullName": "Limit Test", "iban": "AZ10TEST00000000000000000411", "currency": "AZN"}</t>
  </si>
  <si>
    <t>1. Ön şərt: yeni login (boş siyahı), sonra 10 alıcı yaradılır — 10 sorğunun hamısı 201 Created (10-cu alıcı sərhəddədir və qəbul olunur).
2. Əsas sorğu (11-ci alıcı): status 422.
3. code = "LIMIT_REACHED".
4. Body-də "limit": 10.</t>
  </si>
  <si>
    <t>Ön şərt: yeni login, 10 alıcının hamısı 201 Created. Əsas sorğu: 422 Unprocessable Entity, code = "LIMIT_REACHED". Body-də "limit": 10. Gözlənilən nəticəyə uyğundur.</t>
  </si>
  <si>
    <t>A2 — 10 alıcının hazırlanması əl ilə uzun çəkir; avtomatda dövrlə qurulur</t>
  </si>
  <si>
    <t>AC-10</t>
  </si>
  <si>
    <t>TC_BEN_EDGE_041</t>
  </si>
  <si>
    <t>Siyahı dolu (10) olduqda mövcud IBAN göndərildikdə 409 BENEFICIARY_EXISTS qaytarılır (LIMIT_REACHED deyil)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</si>
  <si>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əvvəlki case (LIMIT_REACHED) icra olunub — eyni token ilə siyahıda 10 alıcı var</t>
  </si>
  <si>
    <t>{"fullName": "Limit Test", "iban": "AZ10TEST00000000000000000401", "currency": "AZN"}</t>
  </si>
  <si>
    <t>1. Status 409.
2. code = "BENEFICIARY_EXISTS" — təkrar IBAN yoxlaması limit yoxlamasından əvvəl gəlir.</t>
  </si>
  <si>
    <t>409 Conflict, code = "BENEFICIARY_EXISTS". Gözlənilən nəticəyə uyğundur.</t>
  </si>
  <si>
    <t>ORD, AC-7, AC-10</t>
  </si>
  <si>
    <t>TC_BEN_POS_042</t>
  </si>
  <si>
    <t>Parametrsiz sorğuda 200, total = items sayı və ən yeni əlavə edilən alıcı birinci qaytarılır</t>
  </si>
  <si>
    <t>State Transition (8 alıcı yaradılıb)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</si>
  <si>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ssenarinin 'Hazırlıq' sorğusu icra olunub — siyahıda Dataset A var (8 alıcı, test datasına bax)</t>
  </si>
  <si>
    <t>1. GET {{baseUrl}}/beneficiaries sorğusunu aç (query parametrləri test datasındadır)
2. Header: Authorization: Bearer {{token}}
3. Send bas
4. Status kodunu, total-u və items massivindəki alıcıları (adlar, sıra, valyuta) gözlənilən nəticə ilə müqayisə et</t>
  </si>
  <si>
    <t>Query parametri yoxdur
Dataset A (8 alıcı, yaradılma sırası ilə): Cavid Məmmədov · AZN; Zaur Həsənov · USD · "Qonşu"; Əli Rzayev · EUR · "Dayı"; Çingiz Abbasov · AZN; Xəyal Quliyev · USD; Elvin Kərimov · AZN · "Qardaş"; Qasım Əliyev · EUR; Kamal Nəsirov · AZN</t>
  </si>
  <si>
    <t>1. Status 200 OK.
2. total = 8 və items massivində 8 element var (total = items.length).
3. Sıra yaradılmanın tərsinədir (sort=createdAt, order=desc defolt):
1. Kamal Nəsirov
2. Qasım Əliyev
3. Elvin Kərimov
4. Xəyal Quliyev
5. Çingiz Abbasov
6. Əli Rzayev
7. Zaur Həsənov
8. Cavid Məmmədov</t>
  </si>
  <si>
    <t>200 OK. total = items.length. total = 8. Sıra: Kamal Nəsirov, Qasım Əliyev, Elvin Kərimov, Xəyal Quliyev, Çingiz Abbasov, Əli Rzayev, Zaur Həsənov, Cavid Məmmədov. Gözlənilən nəticəyə uyğundur.</t>
  </si>
  <si>
    <t>specs/bank-api/epic1_grad102_get_beneficiaries.spec</t>
  </si>
  <si>
    <t>TC_BEN_POS_043</t>
  </si>
  <si>
    <t>Siyahıdakı hər alıcı POST cavabındakı bütün sahələrlə qaytarılır</t>
  </si>
  <si>
    <t>1. Status 200 OK.
2. Hər elementdə id, fullName, iban, ibanMasked, currency, nickname, createdAt sahələri var.
3. id 'ben_' + 8 simvol formatındadır; ləqəbi olmayan alıcılarda nickname = null.</t>
  </si>
  <si>
    <t>200 OK. total = items.length. Hər elementdə 7 sahə var, id formatı düzgündür. Gözlənilən nəticəyə uyğundur.</t>
  </si>
  <si>
    <t>TC_BEN_POS_044</t>
  </si>
  <si>
    <t>sort=fullName&amp;order=asc olduqda adlar Azərbaycan əlifbası sırası ilə düzülür (Ç, Ə, X, Q öz yerində)</t>
  </si>
  <si>
    <t>Equivalence Partitioning (lokal əlifba)</t>
  </si>
  <si>
    <t>1. GET {{baseUrl}}/beneficiaries?sort=fullName&amp;order=asc sorğusunu aç (query parametrləri test datasındadır)
2. Header: Authorization: Bearer {{token}}
3. Send bas
4. Status kodunu, total-u və items massivindəki alıcıları (adlar, sıra, valyuta) gözlənilən nəticə ilə müqayisə et</t>
  </si>
  <si>
    <t>Query: ?sort=fullName&amp;order=asc
Dataset A (8 alıcı, yaradılma sırası ilə): Cavid Məmmədov · AZN; Zaur Həsənov · USD · "Qonşu"; Əli Rzayev · EUR · "Dayı"; Çingiz Abbasov · AZN; Xəyal Quliyev · USD; Elvin Kərimov · AZN · "Qardaş"; Qasım Əliyev · EUR; Kamal Nəsirov · AZN</t>
  </si>
  <si>
    <t>1. Status 200 OK.
2. Sıra Azərbaycan əlifbasına uyğundur (a b c ç d e ə f g ğ h x ı i j k q l …):
1. Cavid Məmmədov
2. Çingiz Abbasov
3. Elvin Kərimov
4. Əli Rzayev
5. Xəyal Quliyev
6. Kamal Nəsirov
7. Qasım Əliyev
8. Zaur Həsənov
(Sadə Unicode/ingilis sıralamasında Çingiz və Əli sona, Xəyal Zaur-dan əvvələ düşərdi — bu case həmin xətanı tutur.)</t>
  </si>
  <si>
    <t>200 OK. total = items.length. Sıra: Cavid Məmmədov, Çingiz Abbasov, Elvin Kərimov, Əli Rzayev, Xəyal Quliyev, Kamal Nəsirov, Qasım Əliyev, Zaur Həsənov. Gözlənilən nəticəyə uyğundur.</t>
  </si>
  <si>
    <t>TC_BEN_POS_045</t>
  </si>
  <si>
    <t>sort=fullName&amp;order=desc olduqda adlar Azərbaycan əlifbasının tərs sırası ilə düzülür</t>
  </si>
  <si>
    <t>1. GET {{baseUrl}}/beneficiaries?sort=fullName&amp;order=desc sorğusunu aç (query parametrləri test datasındadır)
2. Header: Authorization: Bearer {{token}}
3. Send bas
4. Status kodunu, total-u və items massivindəki alıcıları (adlar, sıra, valyuta) gözlənilən nəticə ilə müqayisə et</t>
  </si>
  <si>
    <t>Query: ?sort=fullName&amp;order=desc
Dataset A (8 alıcı, yaradılma sırası ilə): Cavid Məmmədov · AZN; Zaur Həsənov · USD · "Qonşu"; Əli Rzayev · EUR · "Dayı"; Çingiz Abbasov · AZN; Xəyal Quliyev · USD; Elvin Kərimov · AZN · "Qardaş"; Qasım Əliyev · EUR; Kamal Nəsirov · AZN</t>
  </si>
  <si>
    <t>1. Status 200 OK.
2. Sıra:
1. Zaur Həsənov
2. Qasım Əliyev
3. Kamal Nəsirov
4. Xəyal Quliyev
5. Əli Rzayev
6. Elvin Kərimov
7. Çingiz Abbasov
8. Cavid Məmmədov</t>
  </si>
  <si>
    <t>200 OK. total = items.length. Sıra: Zaur Həsənov, Qasım Əliyev, Kamal Nəsirov, Xəyal Quliyev, Əli Rzayev, Elvin Kərimov, Çingiz Abbasov, Cavid Məmmədov. Gözlənilən nəticəyə uyğundur.</t>
  </si>
  <si>
    <t>AC-2, PAR</t>
  </si>
  <si>
    <t>TC_BEN_POS_046</t>
  </si>
  <si>
    <t>sort=createdAt&amp;order=asc olduqda ən köhnə alıcı birinci qaytarılır</t>
  </si>
  <si>
    <t>1. GET {{baseUrl}}/beneficiaries?sort=createdAt&amp;order=asc sorğusunu aç (query parametrləri test datasındadır)
2. Header: Authorization: Bearer {{token}}
3. Send bas
4. Status kodunu, total-u və items massivindəki alıcıları (adlar, sıra, valyuta) gözlənilən nəticə ilə müqayisə et</t>
  </si>
  <si>
    <t>Query: ?sort=createdAt&amp;order=asc
Dataset A (8 alıcı, yaradılma sırası ilə): Cavid Məmmədov · AZN; Zaur Həsənov · USD · "Qonşu"; Əli Rzayev · EUR · "Dayı"; Çingiz Abbasov · AZN; Xəyal Quliyev · USD; Elvin Kərimov · AZN · "Qardaş"; Qasım Əliyev · EUR; Kamal Nəsirov · AZN</t>
  </si>
  <si>
    <t>1. Status 200 OK.
2. Sıra yaradılma sırası ilə eynidir:
1. Cavid Məmmədov
2. Zaur Həsənov
3. Əli Rzayev
4. Çingiz Abbasov
5. Xəyal Quliyev
6. Elvin Kərimov
7. Qasım Əliyev
8. Kamal Nəsirov</t>
  </si>
  <si>
    <t>200 OK. total = items.length. Sıra: Cavid Məmmədov, Zaur Həsənov, Əli Rzayev, Çingiz Abbasov, Xəyal Quliyev, Elvin Kərimov, Qasım Əliyev, Kamal Nəsirov. Gözlənilən nəticəyə uyğundur.</t>
  </si>
  <si>
    <t>TC_BEN_POS_047</t>
  </si>
  <si>
    <t>Yalnız order=asc göndərildikdə defolt sort=createdAt tətbiq olunur (ən köhnə birinci)</t>
  </si>
  <si>
    <t>Equivalence Partitioning (defolt dəyər)</t>
  </si>
  <si>
    <t>1. GET {{baseUrl}}/beneficiaries?order=asc sorğusunu aç (query parametrləri test datasındadır)
2. Header: Authorization: Bearer {{token}}
3. Send bas
4. Status kodunu, total-u və items massivindəki alıcıları (adlar, sıra, valyuta) gözlənilən nəticə ilə müqayisə et</t>
  </si>
  <si>
    <t>Query: ?order=asc
Dataset A (8 alıcı, yaradılma sırası ilə): Cavid Məmmədov · AZN; Zaur Həsənov · USD · "Qonşu"; Əli Rzayev · EUR · "Dayı"; Çingiz Abbasov · AZN; Xəyal Quliyev · USD; Elvin Kərimov · AZN · "Qardaş"; Qasım Əliyev · EUR; Kamal Nəsirov · AZN</t>
  </si>
  <si>
    <t>1. Status 200 OK.
2. Sıra yaradılma sırası ilə eynidir (sort defolt createdAt):
1. Cavid Məmmədov
2. Zaur Həsənov
3. Əli Rzayev
4. Çingiz Abbasov
5. Xəyal Quliyev
6. Elvin Kərimov
7. Qasım Əliyev
8. Kamal Nəsirov</t>
  </si>
  <si>
    <t>TC_BEN_POS_048</t>
  </si>
  <si>
    <t>Yalnız sort=fullName göndərildikdə defolt order=desc tətbiq olunur</t>
  </si>
  <si>
    <t>1. GET {{baseUrl}}/beneficiaries?sort=fullName sorğusunu aç (query parametrləri test datasındadır)
2. Header: Authorization: Bearer {{token}}
3. Send bas
4. Status kodunu, total-u və items massivindəki alıcıları (adlar, sıra, valyuta) gözlənilən nəticə ilə müqayisə et</t>
  </si>
  <si>
    <t>Query: ?sort=fullName
Dataset A (8 alıcı, yaradılma sırası ilə): Cavid Məmmədov · AZN; Zaur Həsənov · USD · "Qonşu"; Əli Rzayev · EUR · "Dayı"; Çingiz Abbasov · AZN; Xəyal Quliyev · USD; Elvin Kərimov · AZN · "Qardaş"; Qasım Əliyev · EUR; Kamal Nəsirov · AZN</t>
  </si>
  <si>
    <t>1. Status 200 OK.
2. Adlar Azərbaycan əlifbasının tərs sırası ilədir (order defolt desc): Zaur Həsənov, Qasım Əliyev, Kamal Nəsirov, Xəyal Quliyev, Əli Rzayev, Elvin Kərimov, Çingiz Abbasov, Cavid Məmmədov.</t>
  </si>
  <si>
    <t>TC_BEN_POS_049</t>
  </si>
  <si>
    <t>q=nig olduqda adında "nig" olan bütün alıcılar (registrdən asılı olmayaraq) qaytarılır</t>
  </si>
  <si>
    <t>Equivalence Partitioning (ad hissəsi)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</si>
  <si>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ssenarinin 'Hazırlıq' sorğusu icra olunub — siyahıda Dataset B var (5 alıcı, test datasına bax)</t>
  </si>
  <si>
    <t>1. GET {{baseUrl}}/beneficiaries?q=nig sorğusunu aç (query parametrləri test datasındadır)
2. Header: Authorization: Bearer {{token}}
3. Send bas
4. Status kodunu, total-u və items massivindəki alıcıları (adlar, sıra, valyuta) gözlənilən nəticə ilə müqayisə et</t>
  </si>
  <si>
    <t>Query: ?q=nig
Dataset B (5 alıcı, yaradılma sırası ilə): Nigar Əliyeva · AZN · "Anam"; İlkin Səfərov · USD; Ramin Quliyev · EUR · "Müəllim"; Nigar Həsənova · USD · "Bacı"; Işıl Kərimova · AZN</t>
  </si>
  <si>
    <t>1. Status 200 OK.
2. total = 2; items yalnız bunlardır: Nigar Əliyeva, Nigar Həsənova.
3. Hər elementin fullName və ya nickname-də "nig" var.</t>
  </si>
  <si>
    <t>200 OK. total = items.length. Qaytarılan alıcılar: Nigar Əliyeva, Nigar Həsənova. Gözlənilən nəticəyə uyğundur.</t>
  </si>
  <si>
    <t>TC_BEN_POS_050</t>
  </si>
  <si>
    <t>q=NİGAR (nöqtəli İ, böyük hərf) olduqda "Nigar" adlı alıcılar tapılır</t>
  </si>
  <si>
    <t>Equivalence Partitioning (İ → i)</t>
  </si>
  <si>
    <t>1. GET {{baseUrl}}/beneficiaries?q=NİGAR sorğusunu aç (query parametrləri test datasındadır)
2. Header: Authorization: Bearer {{token}}
3. Send bas
4. Status kodunu, total-u və items massivindəki alıcıları (adlar, sıra, valyuta) gözlənilən nəticə ilə müqayisə et</t>
  </si>
  <si>
    <t>Query: ?q=NİGAR
Dataset B (5 alıcı, yaradılma sırası ilə): Nigar Əliyeva · AZN · "Anam"; İlkin Səfərov · USD; Ramin Quliyev · EUR · "Müəllim"; Nigar Həsənova · USD · "Bacı"; Işıl Kərimova · AZN</t>
  </si>
  <si>
    <t>1. Status 200 OK.
2. total = 2; items yalnız bunlardır: Nigar Əliyeva, Nigar Həsənova.</t>
  </si>
  <si>
    <t>TC_BEN_POS_051</t>
  </si>
  <si>
    <t>q=NIGAR (nöqtəsiz I) olduqda da "Nigar" adlı alıcılar tapılır</t>
  </si>
  <si>
    <t>Equivalence Partitioning (I → ı / i)</t>
  </si>
  <si>
    <t>1. GET {{baseUrl}}/beneficiaries?q=NIGAR sorğusunu aç (query parametrləri test datasındadır)
2. Header: Authorization: Bearer {{token}}
3. Send bas
4. Status kodunu, total-u və items massivindəki alıcıları (adlar, sıra, valyuta) gözlənilən nəticə ilə müqayisə et</t>
  </si>
  <si>
    <t>Query: ?q=NIGAR
Dataset B (5 alıcı, yaradılma sırası ilə): Nigar Əliyeva · AZN · "Anam"; İlkin Səfərov · USD; Ramin Quliyev · EUR · "Müəllim"; Nigar Həsənova · USD · "Bacı"; Işıl Kərimova · AZN</t>
  </si>
  <si>
    <t>TC_BEN_POS_052</t>
  </si>
  <si>
    <t>q=ilkin (kiçik i) olduqda "İlkin Səfərov" tapılır</t>
  </si>
  <si>
    <t>Equivalence Partitioning (İ ↔ i, tərs istiqamət)</t>
  </si>
  <si>
    <t>1. GET {{baseUrl}}/beneficiaries?q=ilkin sorğusunu aç (query parametrləri test datasındadır)
2. Header: Authorization: Bearer {{token}}
3. Send bas
4. Status kodunu, total-u və items massivindəki alıcıları (adlar, sıra, valyuta) gözlənilən nəticə ilə müqayisə et</t>
  </si>
  <si>
    <t>Query: ?q=ilkin
Dataset B (5 alıcı, yaradılma sırası ilə): Nigar Əliyeva · AZN · "Anam"; İlkin Səfərov · USD; Ramin Quliyev · EUR · "Müəllim"; Nigar Həsənova · USD · "Bacı"; Işıl Kərimova · AZN</t>
  </si>
  <si>
    <t>1. Status 200 OK.
2. total = 1; items yalnız bunlardır: İlkin Səfərov.</t>
  </si>
  <si>
    <t>200 OK. total = items.length. Qaytarılan alıcılar: İlkin Səfərov. Gözlənilən nəticəyə uyğundur.</t>
  </si>
  <si>
    <t>TC_BEN_POS_053</t>
  </si>
  <si>
    <t>q=işıl (nöqtəli i) olduqda nöqtəsiz I ilə yazılmış "Işıl Kərimova" tapılır</t>
  </si>
  <si>
    <t>Equivalence Partitioning (ı ↔ i)</t>
  </si>
  <si>
    <t>1. GET {{baseUrl}}/beneficiaries?q=işıl sorğusunu aç (query parametrləri test datasındadır)
2. Header: Authorization: Bearer {{token}}
3. Send bas
4. Status kodunu, total-u və items massivindəki alıcıları (adlar, sıra, valyuta) gözlənilən nəticə ilə müqayisə et</t>
  </si>
  <si>
    <t>Query: ?q=işıl
Dataset B (5 alıcı, yaradılma sırası ilə): Nigar Əliyeva · AZN · "Anam"; İlkin Səfərov · USD; Ramin Quliyev · EUR · "Müəllim"; Nigar Həsənova · USD · "Bacı"; Işıl Kərimova · AZN</t>
  </si>
  <si>
    <t>1. Status 200 OK.
2. total = 1; items yalnız bunlardır: Işıl Kərimova.</t>
  </si>
  <si>
    <t>200 OK. total = items.length. Qaytarılan alıcılar: Işıl Kərimova. Gözlənilən nəticəyə uyğundur.</t>
  </si>
  <si>
    <t>TC_BEN_POS_054</t>
  </si>
  <si>
    <t>q ləqəbin bir hissəsi olduqda ("müəl" → "Müəllim") alıcı ləqəbə görə tapılır</t>
  </si>
  <si>
    <t>Equivalence Partitioning (ləqəb hissəsi)</t>
  </si>
  <si>
    <t>1. GET {{baseUrl}}/beneficiaries?q=müəl sorğusunu aç (query parametrləri test datasındadır)
2. Header: Authorization: Bearer {{token}}
3. Send bas
4. Status kodunu, total-u və items massivindəki alıcıları (adlar, sıra, valyuta) gözlənilən nəticə ilə müqayisə et</t>
  </si>
  <si>
    <t>Query: ?q=müəl
Dataset B (5 alıcı, yaradılma sırası ilə): Nigar Əliyeva · AZN · "Anam"; İlkin Səfərov · USD; Ramin Quliyev · EUR · "Müəllim"; Nigar Həsənova · USD · "Bacı"; Işıl Kərimova · AZN</t>
  </si>
  <si>
    <t>1. Status 200 OK.
2. total = 1; items yalnız bunlardır: Ramin Quliyev.
3. Tapılan alıcının fullName-də "müəl" yoxdur — nəticə nickname üzrədir.</t>
  </si>
  <si>
    <t>200 OK. total = items.length. Qaytarılan alıcılar: Ramin Quliyev. Gözlənilən nəticəyə uyğundur.</t>
  </si>
  <si>
    <t>TC_BEN_POS_055</t>
  </si>
  <si>
    <t>Heç bir alıcıya uyğun gəlməyən q=zzz olduqda 200, total 0 və boş items qaytarılır</t>
  </si>
  <si>
    <t>Equivalence Partitioning (nəticə yoxdur)</t>
  </si>
  <si>
    <t>1. GET {{baseUrl}}/beneficiaries?q=zzz sorğusunu aç (query parametrləri test datasındadır)
2. Header: Authorization: Bearer {{token}}
3. Send bas
4. Status kodunu, total-u və items massivindəki alıcıları (adlar, sıra, valyuta) gözlənilən nəticə ilə müqayisə et</t>
  </si>
  <si>
    <t>Query: ?q=zzz
Dataset B (5 alıcı, yaradılma sırası ilə): Nigar Əliyeva · AZN · "Anam"; İlkin Səfərov · USD; Ramin Quliyev · EUR · "Müəllim"; Nigar Həsənova · USD · "Bacı"; Işıl Kərimova · AZN</t>
  </si>
  <si>
    <t>1. Status 200 OK.
2. "total": 0, "items": [] — xəta qaytarılmır.</t>
  </si>
  <si>
    <t>200 OK. total = items.length. total = 0, items = []. Gözlənilən nəticəyə uyğundur.</t>
  </si>
  <si>
    <t>TC_BEN_BVA_056</t>
  </si>
  <si>
    <t>q 2 simvol (minimum sərhəd, "ra") olduqda qəbul edilir və uyğun alıcı qaytarılır</t>
  </si>
  <si>
    <t>1. GET {{baseUrl}}/beneficiaries?q=ra sorğusunu aç (query parametrləri test datasındadır)
2. Header: Authorization: Bearer {{token}}
3. Send bas
4. Status kodunu, total-u və items massivindəki alıcıları (adlar, sıra, valyuta) gözlənilən nəticə ilə müqayisə et</t>
  </si>
  <si>
    <t>Query: ?q=ra
Dataset B (5 alıcı, yaradılma sırası ilə): Nigar Əliyeva · AZN · "Anam"; İlkin Səfərov · USD; Ramin Quliyev · EUR · "Müəllim"; Nigar Həsənova · USD · "Bacı"; Işıl Kərimova · AZN</t>
  </si>
  <si>
    <t>1. Status 200 OK.
2. total = 1; items yalnız bunlardır: Ramin Quliyev.</t>
  </si>
  <si>
    <t>TC_BEN_EDGE_057</t>
  </si>
  <si>
    <t>q IBAN-ın hissəsi olduqda ("AZ10") nəticə qaytarılmır — axtarış yalnız ad və ləqəb üzrədir</t>
  </si>
  <si>
    <t>Edge Case · Funksional</t>
  </si>
  <si>
    <t>Equivalence Partitioning (axtarılmayan sahə)</t>
  </si>
  <si>
    <t>1. GET {{baseUrl}}/beneficiaries?q=AZ10 sorğusunu aç (query parametrləri test datasındadır)
2. Header: Authorization: Bearer {{token}}
3. Send bas
4. Status kodunu, total-u və items massivindəki alıcıları (adlar, sıra, valyuta) gözlənilən nəticə ilə müqayisə et</t>
  </si>
  <si>
    <t>Query: ?q=AZ10
Dataset B (5 alıcı, yaradılma sırası ilə): Nigar Əliyeva · AZN · "Anam"; İlkin Səfərov · USD; Ramin Quliyev · EUR · "Müəllim"; Nigar Həsənova · USD · "Bacı"; Işıl Kərimova · AZN</t>
  </si>
  <si>
    <t>1. Status 200 OK.
2. "total": 0, "items": [] — bütün alıcıların IBAN-ı AZ10 ilə başlasa da, q yalnız fullName və nickname üzrə axtarır.
(Fərziyyə.)</t>
  </si>
  <si>
    <t>TC_BEN_POS_058</t>
  </si>
  <si>
    <t>currency=USD olduqda yalnız USD alıcılar qaytarılır və total onların sayına bərabərdir</t>
  </si>
  <si>
    <t>1. GET {{baseUrl}}/beneficiaries?currency=USD sorğusunu aç (query parametrləri test datasındadır)
2. Header: Authorization: Bearer {{token}}
3. Send bas
4. Status kodunu, total-u və items massivindəki alıcıları (adlar, sıra, valyuta) gözlənilən nəticə ilə müqayisə et</t>
  </si>
  <si>
    <t>Query: ?currency=USD
Dataset B (5 alıcı, yaradılma sırası ilə): Nigar Əliyeva · AZN · "Anam"; İlkin Səfərov · USD; Ramin Quliyev · EUR · "Müəllim"; Nigar Həsənova · USD · "Bacı"; Işıl Kərimova · AZN</t>
  </si>
  <si>
    <t>1. Status 200 OK.
2. total = 2: İlkin Səfərov, Nigar Həsənova.
3. Bütün elementlərdə currency = "USD".</t>
  </si>
  <si>
    <t>200 OK. total = items.length. Qaytarılan alıcılar: İlkin Səfərov, Nigar Həsənova. Bütün elementlərdə currency = USD. Gözlənilən nəticəyə uyğundur.</t>
  </si>
  <si>
    <t>TC_BEN_POS_059</t>
  </si>
  <si>
    <t>q=nigar&amp;currency=USD birlikdə olduqda yalnız hər iki şərtə uyğun alıcı qaytarılır (AND)</t>
  </si>
  <si>
    <t>Decision Table (q × currency)</t>
  </si>
  <si>
    <t>1. GET {{baseUrl}}/beneficiaries?q=nigar&amp;currency=USD sorğusunu aç (query parametrləri test datasındadır)
2. Header: Authorization: Bearer {{token}}
3. Send bas
4. Status kodunu, total-u və items massivindəki alıcıları (adlar, sıra, valyuta) gözlənilən nəticə ilə müqayisə et</t>
  </si>
  <si>
    <t>Query: ?q=nigar&amp;currency=USD
Dataset B (5 alıcı, yaradılma sırası ilə): Nigar Əliyeva · AZN · "Anam"; İlkin Səfərov · USD; Ramin Quliyev · EUR · "Müəllim"; Nigar Həsənova · USD · "Bacı"; Işıl Kərimova · AZN</t>
  </si>
  <si>
    <t>1. Status 200 OK.
2. total = 1: yalnız Nigar Həsənova (USD).
3. Nigar Əliyeva (AZN) qaytarılmır — şərtlər AND ilə birləşir, OR ilə yox.</t>
  </si>
  <si>
    <t>200 OK. total = items.length. Qaytarılan alıcılar: Nigar Həsənova. Bütün elementlərdə currency = USD. Gözlənilən nəticəyə uyğundur.</t>
  </si>
  <si>
    <t>NOTE, AC-3</t>
  </si>
  <si>
    <t>TC_BEN_POS_060</t>
  </si>
  <si>
    <t>currency=AZN&amp;sort=fullName&amp;order=asc olduqda AZN alıcılar əlifba sırası ilə qaytarılır (Işıl Nigar-dan əvvəl)</t>
  </si>
  <si>
    <t>Decision Table (currency × sort)</t>
  </si>
  <si>
    <t>1. GET {{baseUrl}}/beneficiaries?currency=AZN&amp;sort=fullName&amp;order=asc sorğusunu aç (query parametrləri test datasındadır)
2. Header: Authorization: Bearer {{token}}
3. Send bas
4. Status kodunu, total-u və items massivindəki alıcıları (adlar, sıra, valyuta) gözlənilən nəticə ilə müqayisə et</t>
  </si>
  <si>
    <t>Query: ?currency=AZN&amp;sort=fullName&amp;order=asc
Dataset B (5 alıcı, yaradılma sırası ilə): Nigar Əliyeva · AZN · "Anam"; İlkin Səfərov · USD; Ramin Quliyev · EUR · "Müəllim"; Nigar Həsənova · USD · "Bacı"; Işıl Kərimova · AZN</t>
  </si>
  <si>
    <t>1. Status 200 OK.
2. Sıra: 1. Işıl Kərimova, 2. Nigar Əliyeva (Azərbaycan əlifbasında ı n-dən əvvəldir).</t>
  </si>
  <si>
    <t>200 OK. total = items.length. Sıra: Işıl Kərimova, Nigar Əliyeva. Gözlənilən nəticəyə uyğundur.</t>
  </si>
  <si>
    <t>NOTE, AC-2</t>
  </si>
  <si>
    <t>TC_BEN_EDGE_061</t>
  </si>
  <si>
    <t>user2 öz siyahısını istədikdə user1-in alıcıları görünmür</t>
  </si>
  <si>
    <t>1. POST {{baseUrl}}/auth/login göndər (user2) — token-i {{token_user2}}-yə yaz
2. GET {{baseUrl}}/beneficiaries sorğusunu aç (query parametrləri test datasındadır)
3. Header: Authorization: Bearer {{token_user2}} (user2)
4. Send bas
5. Status kodunu, total-u və items massivindəki alıcıları (adlar, sıra, valyuta) gözlənilən nəticə ilə müqayisə et</t>
  </si>
  <si>
    <t>Query parametri yoxdur
Dataset B (5 alıcı, yaradılma sırası ilə): Nigar Əliyeva · AZN · "Anam"; İlkin Səfərov · USD; Ramin Quliyev · EUR · "Müəllim"; Nigar Həsənova · USD · "Bacı"; Işıl Kərimova · AZN</t>
  </si>
  <si>
    <t>1. Status 200 OK.
2. user2-nin yeni sandbox-unda "total": 0, "items": [] — user1-in 5 alıcısından heç biri qaytarılmır.</t>
  </si>
  <si>
    <t>200 OK. total = items.length. total = 0. Gözlənilən nəticəyə uyğundur.</t>
  </si>
  <si>
    <t>GEN</t>
  </si>
  <si>
    <t>TC_BEN_POS_062</t>
  </si>
  <si>
    <t>Alıcı olmadıqda (boş siyahı) 200, total 0 və boş items qaytarılır</t>
  </si>
  <si>
    <t>State Transition (boş siyahı)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</si>
  <si>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bu ssenaridə alıcı yaradılmır (siyahı boşdur)</t>
  </si>
  <si>
    <t>Query parametri yoxdur</t>
  </si>
  <si>
    <t>1. Status 200 OK.
2. "total": 0, "items": [] — boş siyahı xəta deyil.</t>
  </si>
  <si>
    <t>AC-1, AC-7</t>
  </si>
  <si>
    <t>TC_BEN_BVA_063</t>
  </si>
  <si>
    <t>q 1 simvol (min − 1) olduqda 400 VALIDATION_ERROR, field "q" qaytarılır</t>
  </si>
  <si>
    <t>1. GET {{baseUrl}}/beneficiaries?q=a sorğusunu aç (query parametrləri test datasındadır)
2. Header: Authorization: Bearer {{token}}
3. Send bas
4. Status kodunu, code və details massivini gözlənilən nəticə ilə müqayisə et</t>
  </si>
  <si>
    <t>Query: ?q=a</t>
  </si>
  <si>
    <t>1. Status 400.
2. code = "VALIDATION_ERROR".
3. details-də field = "q" olan element var.</t>
  </si>
  <si>
    <t>400 Bad Request, code = "VALIDATION_ERROR". details-də field = "q" var. Gözlənilən nəticəyə uyğundur.</t>
  </si>
  <si>
    <t>AC-6, ERR</t>
  </si>
  <si>
    <t>TC_BEN_NEG_064</t>
  </si>
  <si>
    <t>1. GET {{baseUrl}}/beneficiaries?currency=GBP sorğusunu aç (query parametrləri test datasındadır)
2. Header: Authorization: Bearer {{token}}
3. Send bas
4. Status kodunu, code və details massivini gözlənilən nəticə ilə müqayisə et</t>
  </si>
  <si>
    <t>Query: ?currency=GBP</t>
  </si>
  <si>
    <t>1. Status 400.
2. code = "VALIDATION_ERROR".
3. details-də field = "currency" olan element var.</t>
  </si>
  <si>
    <t>ERR, PAR</t>
  </si>
  <si>
    <t>TC_BEN_NEG_065</t>
  </si>
  <si>
    <t>sort icazəli dəyər olmadıqda ("iban") 400 VALIDATION_ERROR qaytarılır</t>
  </si>
  <si>
    <t>1. GET {{baseUrl}}/beneficiaries?sort=iban sorğusunu aç (query parametrləri test datasındadır)
2. Header: Authorization: Bearer {{token}}
3. Send bas
4. Status kodunu, code və details massivini gözlənilən nəticə ilə müqayisə et</t>
  </si>
  <si>
    <t>Query: ?sort=iban</t>
  </si>
  <si>
    <t>1. Status 400.
2. code = "VALIDATION_ERROR".
3. details-də field = "sort" olan element var.</t>
  </si>
  <si>
    <t>400 Bad Request, code = "VALIDATION_ERROR". details-də field = "sort" var. Gözlənilən nəticəyə uyğundur.</t>
  </si>
  <si>
    <t>TC_BEN_NEG_066</t>
  </si>
  <si>
    <t>order icazəli dəyər olmadıqda ("up") 400 VALIDATION_ERROR qaytarılır</t>
  </si>
  <si>
    <t>1. GET {{baseUrl}}/beneficiaries?order=up sorğusunu aç (query parametrləri test datasındadır)
2. Header: Authorization: Bearer {{token}}
3. Send bas
4. Status kodunu, code və details massivini gözlənilən nəticə ilə müqayisə et</t>
  </si>
  <si>
    <t>Query: ?order=up</t>
  </si>
  <si>
    <t>1. Status 400.
2. code = "VALIDATION_ERROR".
3. details-də field = "order" olan element var.</t>
  </si>
  <si>
    <t>400 Bad Request, code = "VALIDATION_ERROR". details-də field = "order" var. Gözlənilən nəticəyə uyğundur.</t>
  </si>
  <si>
    <t>TC_BEN_NEG_067</t>
  </si>
  <si>
    <t>Dörd parametr eyni anda səhv olduqda details-də hər səhv parametr ayrıca qaytarılır</t>
  </si>
  <si>
    <t>Equivalence Partitioning (çoxlu etibarsız dəyər)</t>
  </si>
  <si>
    <t>1. GET {{baseUrl}}/beneficiaries?q=a&amp;currency=GBP&amp;sort=iban&amp;order=up sorğusunu aç (query parametrləri test datasındadır)
2. Header: Authorization: Bearer {{token}}
3. Send bas
4. Status kodunu, code və details massivini gözlənilən nəticə ilə müqayisə et</t>
  </si>
  <si>
    <t>Query: ?q=a&amp;currency=GBP&amp;sort=iban&amp;order=up</t>
  </si>
  <si>
    <t>1. Status 400.
2. code = "VALIDATION_ERROR".
3. details-də 4 element: q, currency, sort, order — hər biri bir dəfə.</t>
  </si>
  <si>
    <t>400 Bad Request, code = "VALIDATION_ERROR". details-də q, currency, sort, order — hər biri bir dəfə. Gözlənilən nəticəyə uyğundur.</t>
  </si>
  <si>
    <t>TC_BEN_NEG_068</t>
  </si>
  <si>
    <t>1. GET {{baseUrl}}/beneficiaries sorğusunu aç
2. Authorization header-i test datasındakı hər sətrə uyğun qur və hər sətir üçün ayrıca Send bas
3. Status kodunu gözlənilən nəticə ilə müqayisə et</t>
  </si>
  <si>
    <t>token yoxdur (Authorization header göndərilmir): Query parametri yoxdur
saxta token (Authorization: Bearer fake.token.123): Query parametri yoxdur</t>
  </si>
  <si>
    <t>1. Hər iki sorğuda status 401.
2. Siyahı qaytarılmır.</t>
  </si>
  <si>
    <t>Hər iki sorğuda (token yoxdur / saxta token) 401 Unauthorized.</t>
  </si>
  <si>
    <t>TC_BEN_POS_069</t>
  </si>
  <si>
    <t>Mövcud alıcı silindikdə 204 No Content və boş body qaytarılır</t>
  </si>
  <si>
    <t>State Transition (mövcud → silinmiş)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</si>
  <si>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ön şərt sorğusu ilə silinəcək alıcı yaradılıb və id-si {{delId}}-ə yazılıb</t>
  </si>
  <si>
    <t>1. Ön şərt: POST {{baseUrl}}/beneficiaries, body {"fullName": "Silinəcək Alıcı", "iban": "AZ10TEST00000000000000000301", "currency": "AZN"} → 201; cavabdakı id-ni {{delId}}-ə yaz (CallMan-da Pre-request script avtomatik edir)
2. DELETE {{baseUrl}}/beneficiaries/{{delId}} sorğusunu aç
3. Header: Authorization: Bearer {{token}}
4. Send bas
5. Status kodunu və cavab body-sini yoxla</t>
  </si>
  <si>
    <t>Path: id = {{delId}} (ön şərtdə yaradılan alıcı)</t>
  </si>
  <si>
    <t>1. Ön şərt: 201 Created.
2. Status 204 No Content.
3. Cavab body-si boşdur.</t>
  </si>
  <si>
    <t>Ön şərt: 201 Created. DELETE → 204 No Content, cavab body-si boşdur.</t>
  </si>
  <si>
    <t>specs/bank-api/epic1_grad103_delete_beneficiaries.spec</t>
  </si>
  <si>
    <t>TC_BEN_POS_070</t>
  </si>
  <si>
    <t>Silinmiş alıcı GET /beneficiaries siyahısında olmur və total 1 azalır</t>
  </si>
  <si>
    <t>State Transition (siyahı: N → N − 1)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</si>
  <si>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ön şərt sorğuları ilə alıcı yaradılıb, silinmədən əvvəlki total qeyd olunub və alıcı silinib</t>
  </si>
  <si>
    <t>1. Ön şərt: POST /beneficiaries, body {"fullName": "Siyahıdan Çıxan", "iban": "AZ10TEST00000000000000000302", "currency": "USD"} → 201; id-ni qeyd et
2. Ön şərt: GET /beneficiaries → total-u qeyd et (N)
3. Ön şərt: DELETE /beneficiaries/{id} → 204
4. GET {{baseUrl}}/beneficiaries sorğusunu aç; Header: Authorization: Bearer {{token}}; Send bas
5. total-u və items-da silinmiş id-nin olub-olmadığını yoxla</t>
  </si>
  <si>
    <t>Alıcı: {"fullName": "Siyahıdan Çıxan", "iban": "AZ10TEST00000000000000000302", "currency": "USD"}</t>
  </si>
  <si>
    <t>1. Ön şərt sorğuları: 201, 200, 204.
2. Status 200 OK.
3. total = N − 1 (silinmədən əvvəlkindən 1 az).
4. items-da silinmiş id yoxdur.</t>
  </si>
  <si>
    <t>Ön şərt sorğuları: 201, 200, 204. GET → 200 OK; total silinmədən əvvəlkindən 1 azdır; silinmiş id items-da yoxdur.</t>
  </si>
  <si>
    <t>TC_BEN_NEG_071</t>
  </si>
  <si>
    <t>Artıq silinmiş alıcı eyni id ilə ikinci dəfə silindikdə 404 NOT_FOUND qaytarılır</t>
  </si>
  <si>
    <t>Neqativ · Funksional</t>
  </si>
  <si>
    <t>State Transition (silinmiş → silmə cəhdi)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</si>
  <si>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ön şərt sorğuları ilə alıcı yaradılıb və bir dəfə silinib (204)</t>
  </si>
  <si>
    <t>1. Ön şərt: POST /beneficiaries, body {"fullName": "İki Dəfə Silinən", "iban": "AZ10TEST00000000000000000303", "currency": "EUR"} → 201; id-ni {{delId}}-ə yaz
2. Ön şərt: DELETE /beneficiaries/{{delId}} → 204
3. DELETE {{baseUrl}}/beneficiaries/{{delId}} sorğusunu yenidən göndər (Header: Authorization: Bearer {{token}})
4. Status kodunu və code-u yoxla</t>
  </si>
  <si>
    <t>Path: id = {{delId}} (artıq silinmiş alıcı)</t>
  </si>
  <si>
    <t>1. Ön şərt sorğuları: 201, 204.
2. Status 404.
3. code = "NOT_FOUND".</t>
  </si>
  <si>
    <t>Ön şərt sorğuları: 201, 204. Təkrar DELETE → 404, code = "NOT_FOUND".</t>
  </si>
  <si>
    <t>AC-3, ERR</t>
  </si>
  <si>
    <t>TC_BEN_EDGE_072</t>
  </si>
  <si>
    <t>Silinmiş alıcının IBAN-ı yenidən əlavə edildikdə 201 qaytarılır (409 BENEFICIARY_EXISTS yox)</t>
  </si>
  <si>
    <t>State Transition (silinmiş → yenidən yaradılır)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</si>
  <si>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ön şərt sorğuları ilə alıcı yaradılıb və silinib</t>
  </si>
  <si>
    <t>1. Ön şərt: POST /beneficiaries, body {"fullName": "Qayıdan Alıcı", "iban": "AZ10TEST00000000000000000304", "currency": "AZN"} → 201
2. Ön şərt: DELETE /beneficiaries/{id} → 204
3. POST {{baseUrl}}/beneficiaries sorğusunu eyni body ilə göndər (Header: Authorization: Bearer {{token}}; Content-Type: application/json)
4. Status kodunu yoxla</t>
  </si>
  <si>
    <t>Body: {"fullName": "Qayıdan Alıcı", "iban": "AZ10TEST00000000000000000304", "currency": "AZN"}</t>
  </si>
  <si>
    <t>1. Ön şərt sorğuları: 201, 204.
2. Status 201 Created — silinmiş alıcı "mövcud" sayılmır, eyni IBAN yenidən saxlanıla bilir.
(Fərziyyə.)</t>
  </si>
  <si>
    <t>Ön şərt sorğuları: 201, 204. Eyni IBAN ilə POST → 201 Created (409 qaytarılmadı).</t>
  </si>
  <si>
    <t>INT, AC-1</t>
  </si>
  <si>
    <t>TC_BEN_EDGE_073</t>
  </si>
  <si>
    <t>Siyahı dolu (10) olduqda bir alıcı silinəndən sonra yeni alıcı əlavə edilə bilir</t>
  </si>
  <si>
    <t>State Transition (dolu → 9 → yenidən 10)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</si>
  <si>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bu case-də yeni login edilir (boş sandbox), 10 alıcı yaradılır və biri silinir</t>
  </si>
  <si>
    <t>1. Ön şərt: POST /auth/login (user1) — yeni, boş sandbox; token-i {{token}}-ə yaz
2. Ön şərt: 10 alıcı yarat (iban AZ10TEST…0321 … …0330) → hamısı 201
3. Ön şərt: birinci alıcını DELETE et → 204
4. POST {{baseUrl}}/beneficiaries sorğusunu test datasındakı body ilə göndər
5. Status kodunu yoxla</t>
  </si>
  <si>
    <t>Body: {"fullName": "Boşalan Yer", "iban": "AZ10TEST00000000000000000331", "currency": "AZN"}</t>
  </si>
  <si>
    <t>1. Ön şərt: 10 × 201, sonra silmə 204.
2. Status 201 Created — silmə limitdə yer boşaldır, 422 LIMIT_REACHED qaytarılmır.
(Fərziyyə.)</t>
  </si>
  <si>
    <t>Ön şərt: yeni login, 10 × 201, silmə 204. Yeni alıcı üçün POST → 201 Created (422 LIMIT_REACHED qaytarılmadı).</t>
  </si>
  <si>
    <t>INT</t>
  </si>
  <si>
    <t>TC_BEN_NEG_074</t>
  </si>
  <si>
    <t>Mövcud olmayan, düzgün formatlı id (ben_zzzzzzzz) silinmək istədikdə 404 NOT_FOUND qaytarılır</t>
  </si>
  <si>
    <t>Equivalence Partitioning (mövcud olmayan id)</t>
  </si>
  <si>
    <t>1. DELETE {{baseUrl}}/beneficiaries/ben_zzzzzzzz sorğusunu aç
2. Header: Authorization: Bearer {{token}}
3. Send bas
4. Status kodunu və code-u yoxla</t>
  </si>
  <si>
    <t>Path: id = ben_zzzzzzzz</t>
  </si>
  <si>
    <t>1. Status 404.
2. code = "NOT_FOUND".</t>
  </si>
  <si>
    <t>DELETE /beneficiaries/ben_zzzzzzzz → 404, code = "NOT_FOUND".</t>
  </si>
  <si>
    <t>TC_BEN_NEG_075</t>
  </si>
  <si>
    <t>Formatı səhv olan id ("abc") ilə silmə sorğusunda 404 NOT_FOUND qaytarılır</t>
  </si>
  <si>
    <t>Equivalence Partitioning (səhv format)</t>
  </si>
  <si>
    <t>1. DELETE {{baseUrl}}/beneficiaries/abc sorğusunu aç
2. Header: Authorization: Bearer {{token}}
3. Send bas
4. Status kodunu və code-u yoxla</t>
  </si>
  <si>
    <t>Path: id = abc</t>
  </si>
  <si>
    <t>1. Status 404.
2. code = "NOT_FOUND" — sənəddə id üçün format xətası (400) nəzərdə tutulmayıb.
(Fərziyyə.)</t>
  </si>
  <si>
    <t>DELETE /beneficiaries/abc → 404, code = "NOT_FOUND" (fərziyyə təsdiqləndi).</t>
  </si>
  <si>
    <t>TC_BEN_EDGE_076</t>
  </si>
  <si>
    <t>user2 user1-in alıcısını silməyə çalışdıqda 404 NOT_FOUND qaytarılır (403 yox)</t>
  </si>
  <si>
    <t>Equivalence Partitioning (başqa istifadəçinin resursu)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</si>
  <si>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ön şərt sorğusu ilə user1 tokeni ilə alıcı yaradılıb ({{delId}}) və user2 login olub ({{token_user2}})</t>
  </si>
  <si>
    <t>1. Ön şərt (user1): POST /beneficiaries, body {"fullName": "Səbinə Abbasova", "iban": "AZ10TEST00000000000000000305", "currency": "AZN"} → 201; id-ni {{delId}}-ə yaz
2. Ön şərt: POST /auth/login (user2) → token-i {{token_user2}}-yə yaz
3. DELETE {{baseUrl}}/beneficiaries/{{delId}} sorğusunu aç; Header: Authorization: Bearer {{token_user2}}
4. Send bas
5. Status kodunu və code-u yoxla</t>
  </si>
  <si>
    <t>Path: id = {{delId}} (user1-in alıcısı); token: user2</t>
  </si>
  <si>
    <t>1. Ön şərt: 201 Created.
2. Status 404 (403 deyil — sistem resursun mövcudluğunu gizlədir).
3. code = "NOT_FOUND".</t>
  </si>
  <si>
    <t>Ön şərt (user1): 201 Created. user2 tokeni ilə DELETE → 404, code = "NOT_FOUND"; 403 qaytarılmadı.</t>
  </si>
  <si>
    <t>AC-4, GEN</t>
  </si>
  <si>
    <t>TC_BEN_EDGE_077</t>
  </si>
  <si>
    <t>user2-nin uğursuz silmə cəhdindən sonra user1-in alıcısı siyahıda qalır</t>
  </si>
  <si>
    <t>State Transition (dəyişməməlidir)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</si>
  <si>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əvvəlki case (user2-nin silmə cəhdi) icra olunub — {{delId}} user1-in alıcısıdır</t>
  </si>
  <si>
    <t>1. GET {{baseUrl}}/beneficiaries sorğusunu aç; Header: Authorization: Bearer {{token}} (user1)
2. Send bas
3. items-da {{delId}} id-li alıcının olduğunu yoxla</t>
  </si>
  <si>
    <t>id = {{delId}} (əvvəlki case-dən)</t>
  </si>
  <si>
    <t>1. Status 200 OK.
2. items-da {{delId}} id-li alıcı var — user2-nin sorğusu heç nəyi silməyib.</t>
  </si>
  <si>
    <t>user1 tokeni ilə GET → 200 OK; {{delId}} id-li alıcı items-da var.</t>
  </si>
  <si>
    <t>TC_BEN_NEG_078</t>
  </si>
  <si>
    <t>Authorization header olmadıqda və ya saxta token göndərildikdə 401 qaytarılır və alıcı silinmir</t>
  </si>
  <si>
    <t>P0: CallMan-da 'Bank API' environment seçilib; ssenarinin əvvəlində 'Login user1' icra olunub — {{token}} yeni, boş sandbox-a aiddir (user1 · acc_002 · AZN). Bir sandbox-da ən çox 10 alıcı yaradıla bildiyi üçün hər ssenari öz login-i ilə başlayır; {{delId}} user1-in mövcud alıcısıdır (əvvəlki case-lər)</t>
  </si>
  <si>
    <t>1. DELETE {{baseUrl}}/beneficiaries/{{delId}} sorğusunu Authorization header olmadan göndər
2. Eyni sorğunu 'Authorization: Bearer fake.token.123' ilə göndər
3. Hər iki cavabın status kodunu yoxla</t>
  </si>
  <si>
    <t>token yoxdur: Authorization header göndərilmir
saxta token: Authorization: Bearer fake.token.123
Path: id = {{delId}}</t>
  </si>
  <si>
    <t>1. Hər iki sorğuda status 401.
2. Alıcı silinmir.</t>
  </si>
  <si>
    <t>TC_BEN_EDGE_079</t>
  </si>
  <si>
    <t>Token olmadıqda mövcud olmayan id üçün də 401 qaytarılır (404 yox)</t>
  </si>
  <si>
    <t>Decision Table (auth → mövcudluq)</t>
  </si>
  <si>
    <t>1. DELETE {{baseUrl}}/beneficiaries/ben_zzzzzzzz sorğusunu Authorization header olmadan göndər
2. Status kodunu yoxla</t>
  </si>
  <si>
    <t>Path: id = ben_zzzzzzzz; Authorization header göndərilmir</t>
  </si>
  <si>
    <t>1. Status 401 — autentifikasiya resursun mövcudluğu yoxlamasından əvvəl gəlir (tokensiz istifadəçi id-nin olub-olmadığını öyrənə bilmir).</t>
  </si>
  <si>
    <t>Tokensiz DELETE /beneficiaries/ben_zzzzzzzz → 401 Unauthorized (404 deyil).</t>
  </si>
  <si>
    <t>TC_CRD_POS_001</t>
  </si>
  <si>
    <t>Etibarlı sorğu ilə kart buraxıldıqda 201: status ACTIVE, availableBalance = initialAmount, limitlər 500/300, spentToday 0</t>
  </si>
  <si>
    <t>P0: CallMan-da 'Bank API' environment seçilib; bu case öz ön şərt sorğuları ilə yeni sandbox açır (digər case-lərdən asılı deyil) (CallMan-da ön şərt sorğularını Pre-request script avtomatik göndərir)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</si>
  <si>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100, "label": "Kommunal"}; Send bas
3. Status, Location header və body sahələrini yoxla</t>
  </si>
  <si>
    <t>Body: {"accountId": "acc_002", "initialAmount": 100, "label": "Kommunal"}</t>
  </si>
  <si>
    <t>1. Status 201 Created; Location = /cards/{id}.
2. id 'vcd_' + 8 simvol; accountId = "acc_002"; label = "Kommunal"; currency = "AZN".
3. status = "ACTIVE"; availableBalance = 100.
4. limits = {"dailyOnline": 500, "perTransaction": 300}; spentToday = 0.
5. blockReason = null; blockedAt = null; createdAt ISO 8601.</t>
  </si>
  <si>
    <t>Status 201 Created; Location = /cards/{id}. id 'vcd_' + 8 simvol; accountId = "acc_002"; label = "Kommunal"; currency = "AZN". status = "ACTIVE"; availableBalance = 100. limits = {"dailyOnline": 500, "perTransaction": 300}; spentToday = 0. blockReason = null; blockedAt = null; createdAt ISO 8601. Gözlənilən nəticəyə uyğundur.</t>
  </si>
  <si>
    <t>specs/bank-api/epic2_grad201_post_cards.spec</t>
  </si>
  <si>
    <t>TC_CRD_POS_002</t>
  </si>
  <si>
    <t>Kart buraxıldıqda maskedPan "4169 73** **** NNNN" formatında, expiry isə bu gündən 3 il sonranın MM/YY-idir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</si>
  <si>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10}; Send bas
3. maskedPan və expiry sahələrini yoxla</t>
  </si>
  <si>
    <t>Body: {"accountId": "acc_002", "initialAmount": 10}; icra tarixi 11.10.2026 → gözlənilən expiry "10/29"</t>
  </si>
  <si>
    <t>1. Status 201 Created.
2. maskedPan "4169 73** **** " ilə başlayır və 4 rəqəmlə bitir (məs. "4169 73** **** 4821"); ortada başqa rəqəm görünmür.
3. expiry = icra ayı / (icra ili + 3) — 11.10.2026 üçün "10/29".</t>
  </si>
  <si>
    <t>Status 201 Created. maskedPan "4169 73** **** " ilə başlayır və 4 rəqəmlə bitir (məs. "4169 73** **** 4821"); ortada başqa rəqəm görünmür. expiry = icra ayı / (icra ili + 3) — 11.10.2026 üçün "10/29". Gözlənilən nəticəyə uyğundur.</t>
  </si>
  <si>
    <t>TC_CRD_POS_003</t>
  </si>
  <si>
    <t>label göndərilmədikdə kart yaradılır və cavabda "label": null qaytarılır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</si>
  <si>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10}; Send bas
3. label sahəsini yoxla</t>
  </si>
  <si>
    <t>Body: {"accountId": "acc_002", "initialAmount": 10}</t>
  </si>
  <si>
    <t>1. Status 201 Created.
2. Body-də label sahəsi var və dəyəri null-dur.</t>
  </si>
  <si>
    <t>Status 201 Created. Body-də label sahəsi var və dəyəri null-dur. Gözlənilən nəticəyə uyğundur.</t>
  </si>
  <si>
    <t>TC_CRD_POS_004</t>
  </si>
  <si>
    <t>user2 USD hesabından kart buraxdıqda kartın valyutası USD olur</t>
  </si>
  <si>
    <t>Equivalence Partitioning (fərqli valyuta)</t>
  </si>
  <si>
    <t>1. Ön şərt: POST /auth/login (user2) — yeni, boş sandbox; token-i {{tok}}-a yaz
2. POST {{baseUrl}}/cards sorğusunu aç; Header-lər: Authorization: Bearer {{tok}}; Content-Type: application/json; Body: {"accountId": "acc_003", "initialAmount": 50}; Send bas
3. currency sahəsini yoxla</t>
  </si>
  <si>
    <t>Body: {"accountId": "acc_003", "initialAmount": 50} (user2 · acc_003 · USD)</t>
  </si>
  <si>
    <t>1. Status 201 Created.
2. currency = "USD" (hesabın valyutası); availableBalance = 50.</t>
  </si>
  <si>
    <t>Status 201 Created. currency = "USD" (hesabın valyutası); availableBalance = 50. Gözlənilən nəticəyə uyğundur.</t>
  </si>
  <si>
    <t>NOTE, AC-1</t>
  </si>
  <si>
    <t>TC_CRD_EDGE_005</t>
  </si>
  <si>
    <t>Kart buraxıldıqdan sonra əsas hesabın balansı (GET /me/accounts) dəyişmir</t>
  </si>
  <si>
    <t>State Transition (kartdan əvvəl / sonra)</t>
  </si>
  <si>
    <t>1. Ön şərt: POST /auth/login (user1) — yeni, boş sandbox; token-i {{tok}}-a yaz
2. Ön şərt: GET /me/accounts → acc_002-nin məlumatını qeyd et
3. Ön şərt: POST /cards, body {"accountId": "acc_002", "initialAmount": 100} → 201
4. GET {{baseUrl}}/me/accounts sorğusunu göndər (Authorization: Bearer {{tok}})
5. acc_002-nin məlumatını əvvəlki ilə müqayisə et</t>
  </si>
  <si>
    <t>user1 · acc_002 (balans 12 500 AZN); karta yüklənən məbləğ 100</t>
  </si>
  <si>
    <t>1. Ön şərt sorğuları: 200, 201.
2. Status 200 OK.
3. acc_002-nin məlumatı (balans daxil) kart buraxılmadan əvvəlki ilə tam eynidir — 12 500 AZN 12 400-ə enmir.</t>
  </si>
  <si>
    <t>Ön şərt sorğuları: 200, 201. Status 200 OK. acc_002-nin məlumatı (balans daxil) kart buraxılmadan əvvəlki ilə tam eynidir — 12 500 AZN 12 400-ə enmir. Gözlənilən nəticəyə uyğundur.</t>
  </si>
  <si>
    <t>NOTE</t>
  </si>
  <si>
    <t>TC_CRD_BVA_006</t>
  </si>
  <si>
    <t>initialAmount 1.00 (aşağı sərhəd) olduqda kart yaradılır</t>
  </si>
  <si>
    <t>Boundary Value Analysis (min = 1.00)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</si>
  <si>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1.0}; Send bas
3. Status kodunu və body-ni yoxla</t>
  </si>
  <si>
    <t>Body: {"accountId": "acc_002", "initialAmount": 1.0}</t>
  </si>
  <si>
    <t>1. Status 201 Created.
2. availableBalance = 1.0.</t>
  </si>
  <si>
    <t>Status 201 Created. availableBalance = 1.0. Gözlənilən nəticəyə uyğundur.</t>
  </si>
  <si>
    <t>TC_CRD_BVA_007</t>
  </si>
  <si>
    <t>initialAmount 1000.00 (yuxarı sərhəd) olduqda kart yaradılır</t>
  </si>
  <si>
    <t>Boundary Value Analysis (max = 1000.00)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</si>
  <si>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1000.0}; Send bas
3. Status kodunu və body-ni yoxla</t>
  </si>
  <si>
    <t>Body: {"accountId": "acc_002", "initialAmount": 1000.0}</t>
  </si>
  <si>
    <t>1. Status 201 Created.
2. availableBalance = 1000.0.</t>
  </si>
  <si>
    <t>Status 201 Created. availableBalance = 1000.0. Gözlənilən nəticəyə uyğundur.</t>
  </si>
  <si>
    <t>TC_CRD_BVA_008</t>
  </si>
  <si>
    <t>initialAmount 0.99 (min − 0.01) olduqda 400 VALIDATION_ERROR qaytarılır</t>
  </si>
  <si>
    <t>Boundary Value Analysis (min − 0.01)</t>
  </si>
  <si>
    <t>1. Ön şərt: POST /auth/login (user1) — yeni, boş sandbox; token-i {{tok}}-a yaz
2. POST {{baseUrl}}/cards sorğusunu aç; Header-lər: Authorization: Bearer {{tok}}; Content-Type: application/json; Body: {"accountId": "acc_002", "initialAmount": 0.99}; Send bas
3. Status kodunu və body-ni yoxla</t>
  </si>
  <si>
    <t>Body: {"accountId": "acc_002", "initialAmount": 0.99}</t>
  </si>
  <si>
    <t>1. Status 400.
2. code = "VALIDATION_ERROR".
3. details-də field = "initialAmount" var.
4. Kart yaradılmır.</t>
  </si>
  <si>
    <t>Status 400. code = "VALIDATION_ERROR". details-də field = "initialAmount" var. Kart yaradılmır. Gözlənilən nəticəyə uyğundur.</t>
  </si>
  <si>
    <t>TC_CRD_BVA_009</t>
  </si>
  <si>
    <t>initialAmount 1000.01 (max + 0.01) olduqda 400 VALIDATION_ERROR qaytarılır</t>
  </si>
  <si>
    <t>Boundary Value Analysis (max + 0.01)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</si>
  <si>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1000.01}; Send bas
3. Status kodunu və body-ni yoxla</t>
  </si>
  <si>
    <t>Body: {"accountId": "acc_002", "initialAmount": 1000.01}</t>
  </si>
  <si>
    <t>TC_CRD_NEG_010</t>
  </si>
  <si>
    <t>initialAmount mətn kimi ("50") göndərildikdə 400 VALIDATION_ERROR qaytarılır</t>
  </si>
  <si>
    <t>Equivalence Partitioning (səhv tip)</t>
  </si>
  <si>
    <t>1. Ön şərt: POST /auth/login (user1) — yeni, boş sandbox; token-i {{tok}}-a yaz
2. POST {{baseUrl}}/cards sorğusunu aç; Header-lər: Authorization: Bearer {{tok}}; Content-Type: application/json; Body: {"accountId": "acc_002", "initialAmount": "50"}; Send bas
3. Status kodunu və body-ni yoxla</t>
  </si>
  <si>
    <t>Body: {"accountId": "acc_002", "initialAmount": "50"}</t>
  </si>
  <si>
    <t>1. Status 400.
2. code = "VALIDATION_ERROR".
3. details-də field = "initialAmount" var.
4. Kart yaradılmır.
(Pul sahəsi number olmalıdır — ümumi qayda.)</t>
  </si>
  <si>
    <t>TC_CRD_NEG_011</t>
  </si>
  <si>
    <t>initialAmount 3 onluqlu (10.555) olduqda 400 VALIDATION_ERROR qaytarılır</t>
  </si>
  <si>
    <t>Equivalence Partitioning (&gt; 2 onluq)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</si>
  <si>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10.555}; Send bas
3. Status kodunu və body-ni yoxla</t>
  </si>
  <si>
    <t>Body: {"accountId": "acc_002", "initialAmount": 10.555}</t>
  </si>
  <si>
    <t>TC_CRD_NEG_012</t>
  </si>
  <si>
    <t>initialAmount göndərilmədikdə 400 VALIDATION_ERROR qaytarılır</t>
  </si>
  <si>
    <t>1. Ön şərt: POST /auth/login (user1) — yeni, boş sandbox; token-i {{tok}}-a yaz
2. POST {{baseUrl}}/cards sorğusunu aç; Header-lər: Authorization: Bearer {{tok}}; Content-Type: application/json; Body: {"accountId": "acc_002"}; Send bas
3. Status kodunu və details-i yoxla</t>
  </si>
  <si>
    <t>Body: {"accountId": "acc_002"}</t>
  </si>
  <si>
    <t>1. Status 400.
2. code = "VALIDATION_ERROR".
3. details-də field = "initialAmount" var.</t>
  </si>
  <si>
    <t>Status 400. code = "VALIDATION_ERROR". details-də field = "initialAmount" var. Gözlənilən nəticəyə uyğundur.</t>
  </si>
  <si>
    <t>TC_CRD_NEG_013</t>
  </si>
  <si>
    <t>user1 başqa istifadəçinin hesabı (acc_003) ilə kart açdıqda 403 FORBIDDEN qaytarılır</t>
  </si>
  <si>
    <t>1. Ön şərt: POST /auth/login (user1) — yeni, boş sandbox; token-i {{tok}}-a yaz
2. POST {{baseUrl}}/cards sorğusunu aç; Header-lər: Authorization: Bearer {{tok}}; Content-Type: application/json; Body: {"accountId": "acc_003", "initialAmount": 10}; Send bas
3. Status kodunu və code-u yoxla</t>
  </si>
  <si>
    <t>Body: {"accountId": "acc_003", "initialAmount": 10}</t>
  </si>
  <si>
    <t>1. Status 403.
2. code = "FORBIDDEN".
Kart yaradılmır.
(ümumi qayda başqasının resursu üçün 404 deyir — burada sənəd 403 tələb edir.)</t>
  </si>
  <si>
    <t>Status 403. code = "FORBIDDEN". Gözlənilən nəticəyə uyğundur.</t>
  </si>
  <si>
    <t>AC-5, ERR</t>
  </si>
  <si>
    <t>TC_CRD_NEG_014</t>
  </si>
  <si>
    <t>Mövcud olmayan hesab (acc_999) ilə kart açdıqda 404 ACCOUNT_NOT_FOUND qaytarılır</t>
  </si>
  <si>
    <t>Equivalence Partitioning (mövcud olmayan hesab)</t>
  </si>
  <si>
    <t>1. Ön şərt: POST /auth/login (user1) — yeni, boş sandbox; token-i {{tok}}-a yaz
2. POST {{baseUrl}}/cards sorğusunu aç; Header-lər: Authorization: Bearer {{tok}}; Content-Type: application/json; Body: {"accountId": "acc_999", "initialAmount": 10}; Send bas
3. Status kodunu və code-u yoxla</t>
  </si>
  <si>
    <t>Body: {"accountId": "acc_999", "initialAmount": 10}</t>
  </si>
  <si>
    <t>1. Status 404.
2. code = "ACCOUNT_NOT_FOUND".
Kart yaradılmır.</t>
  </si>
  <si>
    <t>Status 404. code = "ACCOUNT_NOT_FOUND". Gözlənilən nəticəyə uyğundur.</t>
  </si>
  <si>
    <t>TC_CRD_NEG_015</t>
  </si>
  <si>
    <t>accountId göndərilmədikdə 400 VALIDATION_ERROR qaytarılır</t>
  </si>
  <si>
    <t>1. Ön şərt: POST /auth/login (user1) — yeni, boş sandbox; token-i {{tok}}-a yaz
2. POST {{baseUrl}}/cards sorğusunu aç; Header-lər: Authorization: Bearer {{tok}}; Content-Type: application/json; Body: {"initialAmount": 10}; Send bas
3. Status kodunu və code-u yoxla</t>
  </si>
  <si>
    <t>Body: {"initialAmount": 10}</t>
  </si>
  <si>
    <t>1. Status 400.
2. code = "VALIDATION_ERROR".
3. details-də field = "accountId" var.
Kart yaradılmır.</t>
  </si>
  <si>
    <t>Status 400. code = "VALIDATION_ERROR". details-də field = "accountId" var. Gözlənilən nəticəyə uyğundur.</t>
  </si>
  <si>
    <t>TC_CRD_BVA_016</t>
  </si>
  <si>
    <t>label 31 simvol (max + 1) olduqda 400 VALIDATION_ERROR qaytarılır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</si>
  <si>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10, "label": "LLLLLLLLLLLLLLLLLLLLLLLLLLLLLLL"}; Send bas
3. Status kodunu və code-u yoxla</t>
  </si>
  <si>
    <t>Body: {"accountId": "acc_002", "initialAmount": 10, "label": "LLLLLLLLLLLLLLLLLLLLLLLLLLLLLLL"}</t>
  </si>
  <si>
    <t>1. Status 400.
2. code = "VALIDATION_ERROR".
3. details-də field = "label" var.
Kart yaradılmır.</t>
  </si>
  <si>
    <t>Status 400. code = "VALIDATION_ERROR". details-də field = "label" var. Gözlənilən nəticəyə uyğundur.</t>
  </si>
  <si>
    <t>TC_CRD_BVA_017</t>
  </si>
  <si>
    <t>label boş string ("", min − 1) olduqda 400 VALIDATION_ERROR qaytarılır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</si>
  <si>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10, "label": ""}; Send bas
3. Status kodunu və code-u yoxla</t>
  </si>
  <si>
    <t>Body: {"accountId": "acc_002", "initialAmount": 10, "label": ""}</t>
  </si>
  <si>
    <t>1. Status 400.
2. code = "VALIDATION_ERROR".
3. details-də field = "label" var.
Kart yaradılmır.
(Fərziyyə — GRAD-101-dəki nickname kimi.)</t>
  </si>
  <si>
    <t>TC_CRD_BVA_018</t>
  </si>
  <si>
    <t>label 30 simvol (yuxarı sərhəd) olduqda kart yaradılır</t>
  </si>
  <si>
    <t>Boundary Value Analysis (max = 30)</t>
  </si>
  <si>
    <t>1. Ön şərt: POST /auth/login (user1) — yeni, boş sandbox; token-i {{tok}}-a yaz
2. POST {{baseUrl}}/cards sorğusunu aç; Header-lər: Authorization: Bearer {{tok}}; Content-Type: application/json; Body: {"accountId": "acc_002", "initialAmount": 10, "label": "LLLLLLLLLLLLLLLLLLLLLLLLLLLLLL"}; Send bas
3. label-i yoxla</t>
  </si>
  <si>
    <t>Body: {"accountId": "acc_002", "initialAmount": 10, "label": "LLLLLLLLLLLLLLLLLLLLLLLLLLLLLL"}</t>
  </si>
  <si>
    <t>1. Status 201 Created.
2. label göndərilən 30 simvollu dəyərlə eynidir.</t>
  </si>
  <si>
    <t>Status 201 Created. label göndərilən 30 simvollu dəyərlə eynidir. Gözlənilən nəticəyə uyğundur.</t>
  </si>
  <si>
    <t>TC_CRD_NEG_019</t>
  </si>
  <si>
    <t>1. Ön şərt: POST /auth/login (user1) — yeni, boş sandbox; token-i {{tok}}-a yaz
2. POST {{baseUrl}}/cards sorğusunu aç; Header-lər: Authorization: Bearer {{tok}}; Content-Type: application/json; Body: {"initialAmount": "50", "label": "LLLLLLLLLLLLLLLLLLLLLLLLLLLLLLL"}; Send bas
3. details massivini yoxla</t>
  </si>
  <si>
    <t>Body: {"initialAmount": "50", "label": "LLLLLLLLLLLLLLLLLLLLLLLLLLLLLLL"} (accountId yoxdur)</t>
  </si>
  <si>
    <t>1. Status 400.
2. code = "VALIDATION_ERROR".
3. details-də accountId, initialAmount və label — hər biri bir dəfə.</t>
  </si>
  <si>
    <t>Status 400. code = "VALIDATION_ERROR". details-də accountId, initialAmount və label — hər biri bir dəfə. Gözlənilən nəticəyə uyğundur.</t>
  </si>
  <si>
    <t>PAR, ERR</t>
  </si>
  <si>
    <t>TC_CRD_NEG_020</t>
  </si>
  <si>
    <t>1. POST {{baseUrl}}/cards sorğusunu Authorization header olmadan göndər
2. Eyni sorğunu 'Authorization: Bearer fake.token.123' ilə göndər
3. Hər iki status kodunu yoxla</t>
  </si>
  <si>
    <t>token yoxdur: Authorization header göndərilmir
saxta token: Authorization: Bearer fake.token.123
Body: {"accountId": "acc_002", "initialAmount": 10}</t>
  </si>
  <si>
    <t>1. Hər iki sorğuda status 401.
2. Kart yaradılmır.</t>
  </si>
  <si>
    <t>Hər iki sorğuda status 401. Kart yaradılmır. Gözlənilən nəticəyə uyğundur.</t>
  </si>
  <si>
    <t>TC_CRD_NEG_021</t>
  </si>
  <si>
    <t>Body etibarsız JSON olduqda 400 qaytarılır və kart yaradılmır</t>
  </si>
  <si>
    <t>1. Ön şərt: POST /auth/login (user1) — yeni, boş sandbox; token-i {{tok}}-a yaz
2. POST {{baseUrl}}/cards sorğusunu body = {"accountId": "acc_002", (yarımçıq JSON) ilə göndər
3. Status kodunu və code-u yoxla</t>
  </si>
  <si>
    <t>Body (raw): {"accountId": "acc_002",</t>
  </si>
  <si>
    <t>1. Status 400.
2. code = "INVALID_JSON" və ya "VALIDATION_ERROR" (GRAD-201-in xəta cədvəlində INVALID_JSON yoxdur).</t>
  </si>
  <si>
    <t>Status 400. code = "INVALID_JSON" və ya "VALIDATION_ERROR" (GRAD-201-in xəta cədvəlində INVALID_JSON yoxdur). Gözlənilən nəticəyə uyğundur.</t>
  </si>
  <si>
    <t>TC_CRD_BVA_022</t>
  </si>
  <si>
    <t>user2 hesab balansına bərabər məbləğ (890.50) yüklədikdə kart yaradılır</t>
  </si>
  <si>
    <t>Boundary Value Analysis (məbləğ = balans)</t>
  </si>
  <si>
    <t>1. Ön şərt: POST /auth/login (user2) — yeni, boş sandbox; token-i {{tok}}-a yaz
2. POST {{baseUrl}}/cards sorğusunu aç; Header-lər: Authorization: Bearer {{tok}}; Content-Type: application/json; Body: {"accountId": "acc_003", "initialAmount": 890.5}; Send bas
3. Status kodunu yoxla</t>
  </si>
  <si>
    <t>Body: {"accountId": "acc_003", "initialAmount": 890.50} (user2 balansı 890.50 USD)</t>
  </si>
  <si>
    <t>1. Status 201 Created — məbləğ balansa bərabərdir, böyük deyil.
2. availableBalance = 890.5.</t>
  </si>
  <si>
    <t>Status 201 Created — məbləğ balansa bərabərdir, böyük deyil. availableBalance = 890.5. Gözlənilən nəticəyə uyğundur.</t>
  </si>
  <si>
    <t>TC_CRD_BVA_023</t>
  </si>
  <si>
    <t>user2 balansdan böyük məbləğ (890.51 və 891) yüklədikdə 422 INSUFFICIENT_FUNDS qaytarılır</t>
  </si>
  <si>
    <t>Boundary Value Analysis (balans + 0.01)</t>
  </si>
  <si>
    <t>1. Ön şərt: POST /auth/login (user2) — yeni, boş sandbox; token-i {{tok}}-a yaz
2. POST /cards, body {"accountId": "acc_003", "initialAmount": 890.51} göndər
3. Eyni sorğunu initialAmount = 891 ilə göndər
4. Hər iki cavabın status və code-unu yoxla</t>
  </si>
  <si>
    <t>890.51: {"accountId": "acc_003", "initialAmount": 890.51}
891 (AC-6): {"accountId": "acc_003", "initialAmount": 891}</t>
  </si>
  <si>
    <t>1. Hər iki sorğuda status 422.
2. code = "INSUFFICIENT_FUNDS".
3. Kart yaradılmır.</t>
  </si>
  <si>
    <t>Hər iki sorğuda status 422. code = "INSUFFICIENT_FUNDS". Kart yaradılmır. Gözlənilən nəticəyə uyğundur.</t>
  </si>
  <si>
    <t>TC_CRD_BVA_024</t>
  </si>
  <si>
    <t>3 ACTIVE kart olduqda 4-cü kart üçün 422 CARD_LIMIT_REACHED qaytarılır</t>
  </si>
  <si>
    <t>Boundary Value Analysis (3 = max, 4 = max + 1)</t>
  </si>
  <si>
    <t>1. Ön şərt: POST /auth/login (user1) — yeni, boş sandbox; token-i {{tok}}-a yaz
2. Ön şərt: 3 kart buraxın (POST /cards, initialAmount 10) → 3 × 201
3. POST {{baseUrl}}/cards sorğusunu aç; Header-lər: Authorization: Bearer {{tok}}; Content-Type: application/json; Body: {"accountId": "acc_002", "initialAmount": 10}; Send bas (4-cü kart)
4. Status və code-u yoxla</t>
  </si>
  <si>
    <t>Hər kart: {"accountId": "acc_002", "initialAmount": 10}</t>
  </si>
  <si>
    <t>1. Ön şərt: 3 × 201 Created (3-cü kart sərhəddədir və qəbul olunur).
2. 4-cü kart: status 422, code = "CARD_LIMIT_REACHED".</t>
  </si>
  <si>
    <t>Ön şərt: 3 × 201 Created (3-cü kart sərhəddədir və qəbul olunur). 4-cü kart: status 422, code = "CARD_LIMIT_REACHED". Gözlənilən nəticəyə uyğundur.</t>
  </si>
  <si>
    <t>TC_CRD_EDGE_025</t>
  </si>
  <si>
    <t>2 ACTIVE + 1 FROZEN kart olduqda 4-cü kart üçün 422 CARD_LIMIT_REACHED qaytarılır (FROZEN limitə sayılır)</t>
  </si>
  <si>
    <t>Decision Table (kartların statusu × limit)</t>
  </si>
  <si>
    <t>1. Ön şərt: POST /auth/login (user1) — yeni, boş sandbox; token-i {{tok}}-a yaz
2. Ön şərt: 3 kart buraxın → 3 × 201
3. Ön şərt: birinci kartı dondurun — POST /cards/{id}/block, {"reason": "TEMPORARY"} → 200
4. POST {{baseUrl}}/cards sorğusunu aç; Header-lər: Authorization: Bearer {{tok}}; Content-Type: application/json; Body: {"accountId": "acc_002", "initialAmount": 10}; Send bas
5. Status və code-u yoxla</t>
  </si>
  <si>
    <t>1. Ön şərt: 201, 201, 201, 200.
2. Status 422, code = "CARD_LIMIT_REACHED" — FROZEN kart limitə daxildir.</t>
  </si>
  <si>
    <t>Ön şərt: 201, 201, 201, 200. Status 422, code = "CARD_LIMIT_REACHED" — FROZEN kart limitə daxildir. Gözlənilən nəticəyə uyğundur.</t>
  </si>
  <si>
    <t>TC_CRD_EDGE_026</t>
  </si>
  <si>
    <t>3 kartdan biri BLOCKED edildikdən sonra yeni kart yaradılır (BLOCKED limitə sayılmır)</t>
  </si>
  <si>
    <t>State Transition (limit dolu → BLOCKED → yer boşalır)</t>
  </si>
  <si>
    <t>1. Ön şərt: POST /auth/login (user1) — yeni, boş sandbox; token-i {{tok}}-a yaz
2. Ön şərt: 3 kart buraxın → 3 × 201
3. Ön şərt: birinci kartı bloklayın — POST /cards/{id}/block, {"reason": "LOST"} → 200
4. POST {{baseUrl}}/cards sorğusunu aç; Header-lər: Authorization: Bearer {{tok}}; Content-Type: application/json; Body: {"accountId": "acc_002", "initialAmount": 10}; Send bas
5. Status kodunu yoxla</t>
  </si>
  <si>
    <t>1. Ön şərt: 201, 201, 201, 200.
2. Status 201 Created — BLOCKED kart limitə sayılmır.</t>
  </si>
  <si>
    <t>Ön şərt: 201, 201, 201, 200. Status 201 Created — BLOCKED kart limitə sayılmır. Gözlənilən nəticəyə uyğundur.</t>
  </si>
  <si>
    <t>TC_CRD_EDGE_027</t>
  </si>
  <si>
    <t>Karta yükləmə balansı azaltmadığı üçün user2 cəmi balansdan çox olan iki kart (500 + 500) aça bilir</t>
  </si>
  <si>
    <t>State Transition (balans dəyişmir)</t>
  </si>
  <si>
    <t>1. Ön şərt: POST /auth/login (user2) — yeni, boş sandbox; token-i {{tok}}-a yaz
2. Ön şərt: POST /cards, {"accountId": "acc_003", "initialAmount": 500} → 201
3. POST {{baseUrl}}/cards sorğusunu aç; Header-lər: Authorization: Bearer {{tok}}; Content-Type: application/json; Body: {"accountId": "acc_003", "initialAmount": 500}; Send bas (ikinci kart)
4. Status kodunu yoxla</t>
  </si>
  <si>
    <t>Hər kart: {"accountId": "acc_003", "initialAmount": 500} (user2 balansı 890.50)</t>
  </si>
  <si>
    <t>1. Ön şərt: 201.
2. İkinci kart: 201 Created — qeydə görə əsas balans dəyişmir, hər yoxlama 890.50 ilə aparılır.
(bu davranış biznes baxımından nəzərdə tutulubmu?)</t>
  </si>
  <si>
    <t>Ön şərt: 201. İkinci kart: 201 Created — qeydə görə əsas balans dəyişmir, hər yoxlama 890.50 ilə aparılır. Gözlənilən nəticəyə uyğundur.</t>
  </si>
  <si>
    <t>NOTE, AC-6</t>
  </si>
  <si>
    <t>TC_CRD_POS_028</t>
  </si>
  <si>
    <t>Yeni buraxılmış kart GET edildikdə 200 və POST cavabı ilə eyni dəyərlər qaytarılır</t>
  </si>
  <si>
    <t>State Transition (yeni kart)</t>
  </si>
  <si>
    <t>1. Ön şərt: POST /auth/login (user1) — yeni, boş sandbox; token-i {{tok}}-a yaz
2. Ön şərt: POST /cards, {"accountId": "acc_002", "initialAmount": 100, "label": "Onlayn"} → 201; cavabı və id-ni qeyd et
3. GET {{baseUrl}}/cards/{{cardId}} göndər (Authorization: Bearer {{tok}})
4. Cavabı POST cavabı ilə sahə-sahə müqayisə et</t>
  </si>
  <si>
    <t>Kart: {"accountId": "acc_002", "initialAmount": 100, "label": "Onlayn"}</t>
  </si>
  <si>
    <t>1. Ön şərt: 201 Created.
2. Status 200 OK.
3. Bütün 13 sahə (id, accountId, label, maskedPan, expiry, currency, status, availableBalance, limits, blockReason, blockedAt, createdAt, spentToday) POST cavabındakı ilə eynidir.</t>
  </si>
  <si>
    <t>Ön şərt: 201 Created. Status 200 OK. Bütün 13 sahə (id, accountId, label, maskedPan, expiry, currency, status, availableBalance, limits, blockReason, blockedAt, createdAt, spentToday) POST cavabındakı ilə eynidir. Gözlənilən nəticəyə uyğundur.</t>
  </si>
  <si>
    <t>specs/bank-api/epic2_grad202_get_card.spec</t>
  </si>
  <si>
    <t>TC_CRD_EDGE_029</t>
  </si>
  <si>
    <t>user2 user1-in kartını GET etdikdə 404 NOT_FOUND qaytarılır</t>
  </si>
  <si>
    <t>Equivalence Partitioning (başqasının resursu)</t>
  </si>
  <si>
    <t>1. Ön şərt: POST /auth/login (user1) — yeni, boş sandbox; token-i {{tok}}-a yaz
2. Ön şərt: POST /cards, body {"accountId": "acc_002", "initialAmount": 10} → 201; id-ni {{cardId}}-ə yaz
3. Ön şərt: POST /auth/login (user2) — yeni, boş sandbox; token-i {{tok}}-a yaz
4. GET {{baseUrl}}/cards/{{cardId}} göndər (user2 tokeni ilə)
5. Status və code-u yoxla</t>
  </si>
  <si>
    <t>Path: id = {{cardId}} (user1-in kartı); token: user2</t>
  </si>
  <si>
    <t>1. Ön şərt: 201.
2. Status 404, code = "NOT_FOUND" — kartın mövcudluğu gizlədilir (403 deyil).</t>
  </si>
  <si>
    <t>Ön şərt: 201. Status 404, code = "NOT_FOUND" — kartın mövcudluğu gizlədilir (403 deyil). Gözlənilən nəticəyə uyğundur.</t>
  </si>
  <si>
    <t>TC_CRD_NEG_030</t>
  </si>
  <si>
    <t>Mövcud olmayan kart id-si (vcd_zzzzzzzz) GET edildikdə 404 NOT_FOUND qaytarılır</t>
  </si>
  <si>
    <t>1. Ön şərt: POST /auth/login (user1) — yeni, boş sandbox; token-i {{tok}}-a yaz
2. GET {{baseUrl}}/cards/vcd_zzzzzzzz göndər
3. Status və code-u yoxla</t>
  </si>
  <si>
    <t>Path: id = vcd_zzzzzzzz</t>
  </si>
  <si>
    <t>Status 404. code = "NOT_FOUND". Gözlənilən nəticəyə uyğundur.</t>
  </si>
  <si>
    <t>TC_CRD_NEG_031</t>
  </si>
  <si>
    <t>Token olmadan və ya saxta tokenlə kart GET edildikdə 401 qaytarılır</t>
  </si>
  <si>
    <t>1. GET {{baseUrl}}/cards/vcd_zzzzzzzz sorğusunu Authorization header olmadan göndər
2. Eyni sorğunu 'Authorization: Bearer fake.token.123' ilə göndər
3. Status kodlarını yoxla</t>
  </si>
  <si>
    <t>token yoxdur / saxta token: Bearer fake.token.123</t>
  </si>
  <si>
    <t>1. Hər iki sorğuda status 401.</t>
  </si>
  <si>
    <t>Hər iki sorğuda status 401. Gözlənilən nəticəyə uyğundur.</t>
  </si>
  <si>
    <t>TC_CRD_POS_032</t>
  </si>
  <si>
    <t>Kartla 50.50 AZN ödənişdən sonra GET-də availableBalance 50.50 azalır, spentToday 50.50 artır</t>
  </si>
  <si>
    <t>State Transition (ödənişdən əvvəl / sonra)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</si>
  <si>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azersu · 12345678 · 50.5 AZN (Azərsu — komissiya yoxdur, total 50.50) → 201
4. GET {{baseUrl}}/cards/{{cardId}} göndər
5. availableBalance və spentToday-i yoxla</t>
  </si>
  <si>
    <t>Kart 100 AZN; ödəniş: Azərsu 12345678 · 50.50 AZN (fee 0)</t>
  </si>
  <si>
    <t>1. Ön şərt: 201, 201.
2. Status 200 OK.
3. availableBalance = 49.5 (100 − 50.50).
4. spentToday = 50.5.</t>
  </si>
  <si>
    <t>Ön şərt: 201, 201. Status 200 OK. availableBalance = 49.5 (100 − 50.50). spentToday = 50.5. Gözlənilən nəticəyə uyğundur.</t>
  </si>
  <si>
    <t>TC_CRD_POS_033</t>
  </si>
  <si>
    <t>ACTIVE kart TEMPORARY səbəbi ilə dondurulduqda 200: status FROZEN, blockReason TEMPORARY, blockedAt dolu</t>
  </si>
  <si>
    <t>Pozitiv · Vəziyyət keçidi</t>
  </si>
  <si>
    <t>State Transition (ACTIVE + TEMPORARY)</t>
  </si>
  <si>
    <t>1. Ön şərt: POST /auth/login (user1) — yeni, boş sandbox; token-i {{tok}}-a yaz
2. Ön şərt: POST /cards, body {"accountId": "acc_002", "initialAmount": 10} → 201; id-ni {{cardId}}-ə yaz
3. POST {{baseUrl}}/cards/{{cardId}}/block, body {"reason": "TEMPORARY"} göndər
4. Status, code və ya kartın yeni statusunu yoxla</t>
  </si>
  <si>
    <t>Başlanğıc vəziyyət: ACTIVE; body {"reason": "TEMPORARY"}</t>
  </si>
  <si>
    <t>1. Ön şərt: kart ACTIVE vəziyyətindədir.
2. Status 200 OK.
3. status = "FROZEN"; blockReason = "TEMPORARY"; blockedAt ISO 8601 tarixdir.</t>
  </si>
  <si>
    <t>Ön şərt: kart ACTIVE vəziyyətindədir. Status 200 OK. status = "FROZEN"; blockReason = "TEMPORARY"; blockedAt ISO 8601 tarixdir. Gözlənilən nəticəyə uyğundur.</t>
  </si>
  <si>
    <t>AC-1, STT</t>
  </si>
  <si>
    <t>specs/bank-api/epic2_grad203_block_card.spec</t>
  </si>
  <si>
    <t>TC_CRD_POS_034</t>
  </si>
  <si>
    <t>ACTIVE kart LOST səbəbi ilə bloklandıqda 200: status BLOCKED</t>
  </si>
  <si>
    <t>State Transition (ACTIVE + LOST)</t>
  </si>
  <si>
    <t>1. Ön şərt: POST /auth/login (user1) — yeni, boş sandbox; token-i {{tok}}-a yaz
2. Ön şərt: POST /cards, body {"accountId": "acc_002", "initialAmount": 10} → 201; id-ni {{cardId}}-ə yaz
3. POST {{baseUrl}}/cards/{{cardId}}/block, body {"reason": "LOST"} göndər
4. Status, code və ya kartın yeni statusunu yoxla</t>
  </si>
  <si>
    <t>Başlanğıc vəziyyət: ACTIVE; body {"reason": "LOST"}</t>
  </si>
  <si>
    <t>1. Ön şərt: kart ACTIVE vəziyyətindədir.
2. Status 200 OK.
3. status = "BLOCKED"; blockReason = "LOST"; blockedAt ISO 8601 tarixdir.</t>
  </si>
  <si>
    <t>Ön şərt: kart ACTIVE vəziyyətindədir. Status 200 OK. status = "BLOCKED"; blockReason = "LOST"; blockedAt ISO 8601 tarixdir. Gözlənilən nəticəyə uyğundur.</t>
  </si>
  <si>
    <t>AC-2, STT</t>
  </si>
  <si>
    <t>TC_CRD_POS_035</t>
  </si>
  <si>
    <t>ACTIVE kart STOLEN səbəbi ilə bloklandıqda 200: status BLOCKED</t>
  </si>
  <si>
    <t>State Transition (ACTIVE + STOLEN)</t>
  </si>
  <si>
    <t>1. Ön şərt: POST /auth/login (user1) — yeni, boş sandbox; token-i {{tok}}-a yaz
2. Ön şərt: POST /cards, body {"accountId": "acc_002", "initialAmount": 10} → 201; id-ni {{cardId}}-ə yaz
3. POST {{baseUrl}}/cards/{{cardId}}/block, body {"reason": "STOLEN"} göndər
4. Status, code və ya kartın yeni statusunu yoxla</t>
  </si>
  <si>
    <t>Başlanğıc vəziyyət: ACTIVE; body {"reason": "STOLEN"}</t>
  </si>
  <si>
    <t>1. Ön şərt: kart ACTIVE vəziyyətindədir.
2. Status 200 OK.
3. status = "BLOCKED"; blockReason = "STOLEN"; blockedAt ISO 8601 tarixdir.</t>
  </si>
  <si>
    <t>Ön şərt: kart ACTIVE vəziyyətindədir. Status 200 OK. status = "BLOCKED"; blockReason = "STOLEN"; blockedAt ISO 8601 tarixdir. Gözlənilən nəticəyə uyğundur.</t>
  </si>
  <si>
    <t>STT</t>
  </si>
  <si>
    <t>TC_CRD_NEG_036</t>
  </si>
  <si>
    <t>FROZEN kart yenidən TEMPORARY ilə dondurulduqda 409 ALREADY_FROZEN qaytarılır</t>
  </si>
  <si>
    <t>Neqativ · Vəziyyət keçidi</t>
  </si>
  <si>
    <t>State Transition (FROZEN + TEMPORARY)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</si>
  <si>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"TEMPORARY"} → 200
4. POST {{baseUrl}}/cards/{{cardId}}/block, body {"reason": "TEMPORARY"} göndər
5. Status, code və ya kartın yeni statusunu yoxla</t>
  </si>
  <si>
    <t>Başlanğıc vəziyyət: FROZEN; body {"reason": "TEMPORARY"}</t>
  </si>
  <si>
    <t>1. Ön şərt: kart FROZEN vəziyyətindədir.
2. Status 409.
3. code = "ALREADY_FROZEN"; kartın vəziyyəti dəyişmir.</t>
  </si>
  <si>
    <t>Ön şərt: kart FROZEN vəziyyətindədir. Status 409. code = "ALREADY_FROZEN"; kartın vəziyyəti dəyişmir. Gözlənilən nəticəyə uyğundur.</t>
  </si>
  <si>
    <t>AC-4, STT</t>
  </si>
  <si>
    <t>TC_CRD_POS_037</t>
  </si>
  <si>
    <t>FROZEN kart LOST səbəbi ilə bloklandıqda 200: status BLOCKED (eskalasiya)</t>
  </si>
  <si>
    <t>State Transition (FROZEN + LOST)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</si>
  <si>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"TEMPORARY"} → 200
4. POST {{baseUrl}}/cards/{{cardId}}/block, body {"reason": "LOST"} göndər
5. Status, code və ya kartın yeni statusunu yoxla</t>
  </si>
  <si>
    <t>Başlanğıc vəziyyət: FROZEN; body {"reason": "LOST"}</t>
  </si>
  <si>
    <t>1. Ön şərt: kart FROZEN vəziyyətindədir.
2. Status 200 OK.
3. status = "BLOCKED"; blockReason = "LOST"; blockedAt ISO 8601 tarixdir.
(FROZEN → BLOCKED keçidində blockReason yeni səbəbə dəyişir — fərziyyə.)</t>
  </si>
  <si>
    <t>Ön şərt: kart FROZEN vəziyyətindədir. Status 200 OK. status = "BLOCKED"; blockReason = "LOST"; blockedAt ISO 8601 tarixdir. Gözlənilən nəticəyə uyğundur.</t>
  </si>
  <si>
    <t>TC_CRD_POS_038</t>
  </si>
  <si>
    <t>FROZEN kart STOLEN səbəbi ilə bloklandıqda 200: status BLOCKED (eskalasiya)</t>
  </si>
  <si>
    <t>State Transition (FROZEN + STOLEN)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</si>
  <si>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"TEMPORARY"} → 200
4. POST {{baseUrl}}/cards/{{cardId}}/block, body {"reason": "STOLEN"} göndər
5. Status, code və ya kartın yeni statusunu yoxla</t>
  </si>
  <si>
    <t>Başlanğıc vəziyyət: FROZEN; body {"reason": "STOLEN"}</t>
  </si>
  <si>
    <t>1. Ön şərt: kart FROZEN vəziyyətindədir.
2. Status 200 OK.
3. status = "BLOCKED"; blockReason = "STOLEN"; blockedAt ISO 8601 tarixdir.
(FROZEN → BLOCKED keçidində blockReason yeni səbəbə dəyişir — fərziyyə.)</t>
  </si>
  <si>
    <t>Ön şərt: kart FROZEN vəziyyətindədir. Status 200 OK. status = "BLOCKED"; blockReason = "STOLEN"; blockedAt ISO 8601 tarixdir. Gözlənilən nəticəyə uyğundur.</t>
  </si>
  <si>
    <t>AC-3, STT</t>
  </si>
  <si>
    <t>TC_CRD_NEG_039</t>
  </si>
  <si>
    <t>BLOCKED kart TEMPORARY ilə dondurulmaq istədikdə 409 CARD_BLOCKED qaytarılır</t>
  </si>
  <si>
    <t>State Transition (BLOCKED + TEMPORARY)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</si>
  <si>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"LOST"} → 200
4. POST {{baseUrl}}/cards/{{cardId}}/block, body {"reason": "TEMPORARY"} göndər
5. Status, code və ya kartın yeni statusunu yoxla</t>
  </si>
  <si>
    <t>Başlanğıc vəziyyət: BLOCKED; body {"reason": "TEMPORARY"}</t>
  </si>
  <si>
    <t>1. Ön şərt: kart BLOCKED vəziyyətindədir.
2. Status 409.
3. code = "CARD_BLOCKED"; kartın vəziyyəti dəyişmir.</t>
  </si>
  <si>
    <t>Ön şərt: kart BLOCKED vəziyyətindədir. Status 409. code = "CARD_BLOCKED"; kartın vəziyyəti dəyişmir. Gözlənilən nəticəyə uyğundur.</t>
  </si>
  <si>
    <t>AC-5, STT</t>
  </si>
  <si>
    <t>TC_CRD_NEG_040</t>
  </si>
  <si>
    <t>BLOCKED kart yenidən LOST ilə bloklandıqda 409 CARD_BLOCKED qaytarılır</t>
  </si>
  <si>
    <t>State Transition (BLOCKED + LOST)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</si>
  <si>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"LOST"} → 200
4. POST {{baseUrl}}/cards/{{cardId}}/block, body {"reason": "LOST"} göndər
5. Status, code və ya kartın yeni statusunu yoxla</t>
  </si>
  <si>
    <t>Başlanğıc vəziyyət: BLOCKED; body {"reason": "LOST"}</t>
  </si>
  <si>
    <t>TC_CRD_NEG_041</t>
  </si>
  <si>
    <t>BLOCKED kart STOLEN ilə bloklandıqda 409 CARD_BLOCKED qaytarılır</t>
  </si>
  <si>
    <t>State Transition (BLOCKED + STOLEN)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</si>
  <si>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"LOST"} → 200
4. POST {{baseUrl}}/cards/{{cardId}}/block, body {"reason": "STOLEN"} göndər
5. Status, code və ya kartın yeni statusunu yoxla</t>
  </si>
  <si>
    <t>Başlanğıc vəziyyət: BLOCKED; body {"reason": "STOLEN"}</t>
  </si>
  <si>
    <t>TC_CRD_NEG_042</t>
  </si>
  <si>
    <t>reason icazəli dəyər olmadıqda ("BROKEN") 400 VALIDATION_ERROR qaytarılır</t>
  </si>
  <si>
    <t>1. Ön şərt: POST /auth/login (user1) — yeni, boş sandbox; token-i {{tok}}-a yaz
2. Ön şərt: POST /cards, body {"accountId": "acc_002", "initialAmount": 10} → 201; id-ni {{cardId}}-ə yaz
3. POST {{baseUrl}}/cards/{{cardId}}/block göndər, body {"reason": "BROKEN"}
4. Status və code-u yoxla</t>
  </si>
  <si>
    <t>Kart vəziyyəti: ACTIVE; Body: {"reason": "BROKEN"}</t>
  </si>
  <si>
    <t>1. Status 400.
2. code = "VALIDATION_ERROR".
3. details-də field = "reason" var.</t>
  </si>
  <si>
    <t>Status 400. code = "VALIDATION_ERROR". details-də field = "reason" var. Gözlənilən nəticəyə uyğundur.</t>
  </si>
  <si>
    <t>AC-6, PAR</t>
  </si>
  <si>
    <t>TC_CRD_NEG_043</t>
  </si>
  <si>
    <t>reason göndərilmədikdə (body {}) 400 VALIDATION_ERROR qaytarılır</t>
  </si>
  <si>
    <t>1. Ön şərt: POST /auth/login (user1) — yeni, boş sandbox; token-i {{tok}}-a yaz
2. Ön şərt: POST /cards, body {"accountId": "acc_002", "initialAmount": 10} → 201; id-ni {{cardId}}-ə yaz
3. POST {{baseUrl}}/cards/{{cardId}}/block göndər, body {}
4. Status və code-u yoxla</t>
  </si>
  <si>
    <t>Kart vəziyyəti: ACTIVE; Body: {}</t>
  </si>
  <si>
    <t>TC_CRD_NEG_044</t>
  </si>
  <si>
    <t>reason kiçik hərflə ("temporary") göndərildikdə 400 VALIDATION_ERROR qaytarılır</t>
  </si>
  <si>
    <t>1. Ön şərt: POST /auth/login (user1) — yeni, boş sandbox; token-i {{tok}}-a yaz
2. Ön şərt: POST /cards, body {"accountId": "acc_002", "initialAmount": 10} → 201; id-ni {{cardId}}-ə yaz
3. POST {{baseUrl}}/cards/{{cardId}}/block göndər, body {"reason": "temporary"}
4. Status və code-u yoxla</t>
  </si>
  <si>
    <t>Kart vəziyyəti: ACTIVE; Body: {"reason": "temporary"}</t>
  </si>
  <si>
    <t>1. Status 400.
2. code = "VALIDATION_ERROR".
3. details-də field = "reason" var.
(Fərziyyə.)</t>
  </si>
  <si>
    <t>TC_CRD_NEG_045</t>
  </si>
  <si>
    <t>Body ümumiyyətlə göndərilmədikdə 400 INVALID_JSON qaytarılır</t>
  </si>
  <si>
    <t>Equivalence Partitioning (body yoxdur)</t>
  </si>
  <si>
    <t>1. Ön şərt: POST /auth/login (user1) — yeni, boş sandbox; token-i {{tok}}-a yaz
2. Ön şərt: POST /cards, body {"accountId": "acc_002", "initialAmount": 10} → 201; id-ni {{cardId}}-ə yaz
3. POST {{baseUrl}}/cards/{{cardId}}/block göndər, body göndərmədən (Content-Type də yoxdur)
4. Status və code-u yoxla</t>
  </si>
  <si>
    <t>Kart vəziyyəti: ACTIVE; Body yoxdur</t>
  </si>
  <si>
    <t>1. Status 400.
2. code = "INVALID_JSON".</t>
  </si>
  <si>
    <t>Status 400. code = "INVALID_JSON". Gözlənilən nəticəyə uyğundur.</t>
  </si>
  <si>
    <t>TC_CRD_EDGE_046</t>
  </si>
  <si>
    <t>Mövcud olmayan kart + icazəsiz reason olduqda 400 VALIDATION_ERROR qaytarılır (404 deyil)</t>
  </si>
  <si>
    <t>Edge Case · Validasiya</t>
  </si>
  <si>
    <t>1. Ön şərt: POST /auth/login (user1) — yeni, boş sandbox; token-i {{tok}}-a yaz
2. POST {{baseUrl}}/cards/vcd_zzzzzzzz/block göndər, body {"reason": "BROKEN"}
3. Status və code-u yoxla</t>
  </si>
  <si>
    <t>Path: vcd_zzzzzzzz; Body: {"reason": "BROKEN"}</t>
  </si>
  <si>
    <t>1. Status 400.
2. code = "VALIDATION_ERROR".
(reason validasiyası NOT_FOUND yoxlamasından əvvəl gəlir.)</t>
  </si>
  <si>
    <t>Status 400. code = "VALIDATION_ERROR". Gözlənilən nəticəyə uyğundur.</t>
  </si>
  <si>
    <t>ORD</t>
  </si>
  <si>
    <t>TC_CRD_EDGE_047</t>
  </si>
  <si>
    <t>BLOCKED kart + icazəsiz reason olduqda 400 VALIDATION_ERROR qaytarılır (409 CARD_BLOCKED deyil)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</si>
  <si>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"LOST"} → 200
4. POST {{baseUrl}}/cards/{{cardId}}/block göndər, body {"reason": "BROKEN"}
5. Status və code-u yoxla</t>
  </si>
  <si>
    <t>Kart vəziyyəti: BLOCKED; Body: {"reason": "BROKEN"}</t>
  </si>
  <si>
    <t>1. Status 400.
2. code = "VALIDATION_ERROR".
(reason validasiyası status keçidindən əvvəl gəlir.)</t>
  </si>
  <si>
    <t>TC_CRD_NEG_048</t>
  </si>
  <si>
    <t>Mövcud olmayan kart (vcd_zzzzzzzz) bloklanmaq istədikdə 404 NOT_FOUND qaytarılır</t>
  </si>
  <si>
    <t>1. Ön şərt: POST /auth/login (user1) — yeni, boş sandbox; token-i {{tok}}-a yaz
2. POST {{baseUrl}}/cards/vcd_zzzzzzzz/block, body {"reason": "TEMPORARY"} göndər
3. Status və code-u yoxla</t>
  </si>
  <si>
    <t>Path: vcd_zzzzzzzz; Body: {"reason": "TEMPORARY"}</t>
  </si>
  <si>
    <t>TC_CRD_EDGE_049</t>
  </si>
  <si>
    <t>user2 user1-in kartını bloklamağa çalışdıqda 404 NOT_FOUND qaytarılır və kart ACTIVE qalır</t>
  </si>
  <si>
    <t>1. Ön şərt: POST /auth/login (user1) — yeni, boş sandbox; token-i {{tok}}-a yaz
2. Ön şərt: POST /cards, body {"accountId": "acc_002", "initialAmount": 10} → 201; id-ni {{cardId}}-ə yaz
3. Ön şərt: POST /auth/login (user2) — yeni, boş sandbox; token-i {{tok}}-a yaz
4. POST {{baseUrl}}/cards/{{cardId}}/block, body {"reason": "LOST"} — user2 tokeni ilə göndər
5. Status və code-u yoxla</t>
  </si>
  <si>
    <t>Path: {{cardId}} (user1-in kartı); token: user2; Body: {"reason": "LOST"}</t>
  </si>
  <si>
    <t>1. Ön şərt: 201.
2. Status 404, code = "NOT_FOUND" (403 deyil).</t>
  </si>
  <si>
    <t>Ön şərt: 201. Status 404, code = "NOT_FOUND" (403 deyil). Gözlənilən nəticəyə uyğundur.</t>
  </si>
  <si>
    <t>TC_CRD_NEG_050</t>
  </si>
  <si>
    <t>Token olmadan və ya saxta tokenlə bloklama sorğusunda 401 qaytarılır</t>
  </si>
  <si>
    <t>1. POST {{baseUrl}}/cards/vcd_zzzzzzzz/block, body {"reason": "TEMPORARY"} — Authorization header olmadan
2. Eyni sorğunu saxta tokenlə göndər
3. Status kodlarını yoxla</t>
  </si>
  <si>
    <t>TC_CRD_POS_051</t>
  </si>
  <si>
    <t>Dondurulmuş kart GET /cards/{id}-də dərhal FROZEN, blockReason TEMPORARY və eyni blockedAt ilə görünür</t>
  </si>
  <si>
    <t>Pozitiv · İnteqrasiya</t>
  </si>
  <si>
    <t>State Transition (GRAD-203 → GRAD-202)</t>
  </si>
  <si>
    <t>1. Ön şərt: POST /auth/login (user1) — yeni, boş sandbox; token-i {{tok}}-a yaz
2. Ön şərt: POST /cards, body {"accountId": "acc_002", "initialAmount": 10} → 201; id-ni {{cardId}}-ə yaz
3. Ön şərt: POST /cards/{{cardId}}/block, {"reason": "TEMPORARY"} → 200; blockedAt-i qeyd et
4. GET {{baseUrl}}/cards/{{cardId}} göndər
5. status, blockReason və blockedAt-i yoxla</t>
  </si>
  <si>
    <t>Kart: initialAmount 10; reason TEMPORARY</t>
  </si>
  <si>
    <t>1. Ön şərt: 201, 200.
2. Status 200 OK.
3. status = "FROZEN"; blockReason = "TEMPORARY"; blockedAt bloklama cavabındakı ilə eynidir.
4. availableBalance dəyişməyib (10).</t>
  </si>
  <si>
    <t>Ön şərt: 201, 200. Status 200 OK. status = "FROZEN"; blockReason = "TEMPORARY"; blockedAt bloklama cavabındakı ilə eynidir. availableBalance dəyişməyib (10). Gözlənilən nəticəyə uyğundur.</t>
  </si>
  <si>
    <t>TC_CRD_NEG_052</t>
  </si>
  <si>
    <t>FROZEN kartla ödəniş edildikdə 422 CARD_NOT_ACTIVE qaytarılır</t>
  </si>
  <si>
    <t>State Transition (FROZEN + ödəniş)</t>
  </si>
  <si>
    <t>1. Ön şərt: POST /auth/login (user1) — yeni, boş sandbox; token-i {{tok}}-a yaz
2. Ön şərt: POST /cards, {"accountId": "acc_002", "initialAmount": 100} → 201; id-ni {{cardId}}-ə yaz
3. Ön şərt: POST /cards/{{cardId}}/block, {"reason": "TEMPORARY"} → 200
4. POST {{baseUrl}}/bill-payments göndər — Header-lər: Authorization: Bearer {{tok}}; Content-Type: application/json; Idempotency-Key: {{idemKey}} — yeni unikal açar; Body: {"cardId": "{{cardId}}", "billerId": "azersu", "subscriberNo": "12345678", "amount": 10}
5. Status və code-u yoxla</t>
  </si>
  <si>
    <t>Kart FROZEN; Body: {"cardId": "{{cardId}}", "billerId": "azersu", "subscriberNo": "12345678", "amount": 10}</t>
  </si>
  <si>
    <t>1. Ön şərt: 201, 200.
2. Status 422.
3. code = "CARD_NOT_ACTIVE"; ödəniş edilmir.</t>
  </si>
  <si>
    <t>Ön şərt: 201, 200. Status 422. code = "CARD_NOT_ACTIVE"; ödəniş edilmir. Gözlənilən nəticəyə uyğundur.</t>
  </si>
  <si>
    <t>AC-7, 302·AC-14</t>
  </si>
  <si>
    <t>TC_CRD_NEG_053</t>
  </si>
  <si>
    <t>BLOCKED kartla ödəniş edildikdə 422 CARD_NOT_ACTIVE qaytarılır</t>
  </si>
  <si>
    <t>State Transition (BLOCKED + ödəniş)</t>
  </si>
  <si>
    <t>1. Ön şərt: POST /auth/login (user1) — yeni, boş sandbox; token-i {{tok}}-a yaz
2. Ön şərt: POST /cards, {"accountId": "acc_002", "initialAmount": 100} → 201; id-ni {{cardId}}-ə yaz
3. Ön şərt: POST /cards/{{cardId}}/block, {"reason": "LOST"} → 200
4. POST {{baseUrl}}/bill-payments göndər — Header-lər: Authorization: Bearer {{tok}}; Content-Type: application/json; Idempotency-Key: {{idemKey}} — yeni unikal açar; Body: {"cardId": "{{cardId}}", "billerId": "azersu", "subscriberNo": "12345678", "amount": 10}
5. Status və code-u yoxla</t>
  </si>
  <si>
    <t>Kart BLOCKED; Body: {"cardId": "{{cardId}}", "billerId": "azersu", "subscriberNo": "12345678", "amount": 10}</t>
  </si>
  <si>
    <t>TC_CRD_POS_054</t>
  </si>
  <si>
    <t>FROZEN kart açıldıqda 200: status ACTIVE, blockReason və blockedAt null</t>
  </si>
  <si>
    <t>State Transition (FROZEN → ACTIVE)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</si>
  <si>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"TEMPORARY"} → 200
4. POST {{baseUrl}}/cards/{{cardId}}/unblock göndər (body yoxdur; Authorization: Bearer {{tok}})
5. Status və body-ni yoxla</t>
  </si>
  <si>
    <t>Başlanğıc vəziyyət: FROZEN; body yoxdur</t>
  </si>
  <si>
    <t>1. Ön şərt: 201, 200 (kart FROZEN).
2. Status 200 OK.
3. status = "ACTIVE"; blockReason = null; blockedAt = null.</t>
  </si>
  <si>
    <t>Ön şərt: 201, 200 (kart FROZEN). Status 200 OK. status = "ACTIVE"; blockReason = null; blockedAt = null. Gözlənilən nəticəyə uyğundur.</t>
  </si>
  <si>
    <t>specs/bank-api/epic2_grad204_unblock_card.spec</t>
  </si>
  <si>
    <t>TC_CRD_NEG_055</t>
  </si>
  <si>
    <t>ACTIVE kart açılmaq istədikdə 409 NOT_FROZEN qaytarılır</t>
  </si>
  <si>
    <t>State Transition (ACTIVE + unblock)</t>
  </si>
  <si>
    <t>1. Ön şərt: POST /auth/login (user1) — yeni, boş sandbox; token-i {{tok}}-a yaz
2. Ön şərt: POST /cards, body {"accountId": "acc_002", "initialAmount": 10} → 201; id-ni {{cardId}}-ə yaz
3. POST {{baseUrl}}/cards/{{cardId}}/unblock göndər (body yoxdur; Authorization: Bearer {{tok}})
4. Status və body-ni yoxla</t>
  </si>
  <si>
    <t>Başlanğıc vəziyyət: ACTIVE; body yoxdur</t>
  </si>
  <si>
    <t>1. Ön şərt: kart ACTIVE.
2. Status 409.
3. code = "NOT_FROZEN"; kartın vəziyyəti dəyişmir.</t>
  </si>
  <si>
    <t>Ön şərt: kart ACTIVE. Status 409. code = "NOT_FROZEN"; kartın vəziyyəti dəyişmir. Gözlənilən nəticəyə uyğundur.</t>
  </si>
  <si>
    <t>TC_CRD_NEG_056</t>
  </si>
  <si>
    <t>LOST ilə bloklanmış kart açılmaq istədikdə 409 PERMANENTLY_BLOCKED qaytarılır</t>
  </si>
  <si>
    <t>State Transition (BLOCKED + unblock)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</si>
  <si>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"LOST"} → 200
4. POST {{baseUrl}}/cards/{{cardId}}/unblock göndər (body yoxdur; Authorization: Bearer {{tok}})
5. Status və body-ni yoxla</t>
  </si>
  <si>
    <t>Başlanğıc vəziyyət: BLOCKED (LOST); body yoxdur</t>
  </si>
  <si>
    <t>1. Ön şərt: kart BLOCKED (LOST).
2. Status 409.
3. code = "PERMANENTLY_BLOCKED"; kartın vəziyyəti dəyişmir.</t>
  </si>
  <si>
    <t>Ön şərt: kart BLOCKED (LOST). Status 409. code = "PERMANENTLY_BLOCKED"; kartın vəziyyəti dəyişmir. Gözlənilən nəticəyə uyğundur.</t>
  </si>
  <si>
    <t>TC_CRD_NEG_057</t>
  </si>
  <si>
    <t>Əvvəl dondurulub sonra STOLEN ilə bloklanmış kart açılmaq istədikdə 409 PERMANENTLY_BLOCKED qaytarılır</t>
  </si>
  <si>
    <t>State Transition (FROZEN → BLOCKED + unblock)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</si>
  <si>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"TEMPORARY"} → 200
4. Ön şərt: POST /cards/{{cardId}}/block, body {"reason": "STOLEN"} → 200
5. POST {{baseUrl}}/cards/{{cardId}}/unblock göndər (body yoxdur; Authorization: Bearer {{tok}})
6. Status və body-ni yoxla</t>
  </si>
  <si>
    <t>Başlanğıc vəziyyət: BLOCKED (FROZEN → STOLEN); body yoxdur</t>
  </si>
  <si>
    <t>1. Ön şərt: kart BLOCKED (FROZEN → STOLEN).
2. Status 409.
3. code = "PERMANENTLY_BLOCKED"; kartın vəziyyəti dəyişmir.</t>
  </si>
  <si>
    <t>Ön şərt: kart BLOCKED (FROZEN → STOLEN). Status 409. code = "PERMANENTLY_BLOCKED"; kartın vəziyyəti dəyişmir. Gözlənilən nəticəyə uyğundur.</t>
  </si>
  <si>
    <t>TC_CRD_EDGE_058</t>
  </si>
  <si>
    <t>Açılmış kart yenidən dondurula bilir (FROZEN → ACTIVE → FROZEN dövrü)</t>
  </si>
  <si>
    <t>Edge Case · Vəziyyət keçidi</t>
  </si>
  <si>
    <t>State Transition (təkrar dövr)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</si>
  <si>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"TEMPORARY"} → 200
4. Ön şərt: POST /cards/{{cardId}}/unblock → 200
5. POST {{baseUrl}}/cards/{{cardId}}/block, {"reason": "TEMPORARY"} göndər
6. Status və statusu yoxla</t>
  </si>
  <si>
    <t>Kart: ACTIVE → FROZEN → ACTIVE; sonra reason TEMPORARY</t>
  </si>
  <si>
    <t>1. Ön şərt: 201, 200, 200.
2. Status 200 OK; status = "FROZEN" — açılmış kart adi ACTIVE kart kimi davranır.</t>
  </si>
  <si>
    <t>Ön şərt: 201, 200, 200. Status 200 OK; status = "FROZEN" — açılmış kart adi ACTIVE kart kimi davranır. Gözlənilən nəticəyə uyğundur.</t>
  </si>
  <si>
    <t>TC_CRD_POS_059</t>
  </si>
  <si>
    <t>Açılmış kart GET /cards/{id}-də ACTIVE, null blockReason/blockedAt və dəyişməmiş balansla görünür</t>
  </si>
  <si>
    <t>State Transition (GRAD-204 → GRAD-202)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</si>
  <si>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"TEMPORARY"} → 200
4. Ön şərt: POST /cards/{{cardId}}/unblock → 200
5. GET {{baseUrl}}/cards/{{cardId}} göndər
6. status, blockReason, blockedAt və availableBalance-i yoxla</t>
  </si>
  <si>
    <t>Kart: initialAmount 10</t>
  </si>
  <si>
    <t>1. Ön şərt: 201, 200, 200.
2. Status 200 OK; status = "ACTIVE"; blockReason = null; blockedAt = null; availableBalance = 10.</t>
  </si>
  <si>
    <t>Ön şərt: 201, 200, 200. Status 200 OK; status = "ACTIVE"; blockReason = null; blockedAt = null; availableBalance = 10. Gözlənilən nəticəyə uyğundur.</t>
  </si>
  <si>
    <t>TC_CRD_NEG_060</t>
  </si>
  <si>
    <t>Mövcud olmayan kart (vcd_zzzzzzzz) açılmaq istədikdə 404 NOT_FOUND qaytarılır</t>
  </si>
  <si>
    <t>1. Ön şərt: POST /auth/login (user1) — yeni, boş sandbox; token-i {{tok}}-a yaz
2. POST {{baseUrl}}/cards/vcd_zzzzzzzz/unblock göndər
3. Status və code-u yoxla</t>
  </si>
  <si>
    <t>Path: vcd_zzzzzzzz</t>
  </si>
  <si>
    <t>TC_CRD_EDGE_061</t>
  </si>
  <si>
    <t>user2 user1-in dondurulmuş kartını açmağa çalışdıqda 404 NOT_FOUND qaytarılır</t>
  </si>
  <si>
    <t>1. Ön şərt: POST /auth/login (user1) — yeni, boş sandbox; token-i {{tok}}-a yaz
2. Ön şərt: POST /cards, body {"accountId": "acc_002", "initialAmount": 10} → 201; id-ni {{cardId}}-ə yaz
3. Ön şərt: POST /cards/{{cardId}}/block, body {"reason": "TEMPORARY"} → 200
4. Ön şərt: POST /auth/login (user2) — yeni, boş sandbox; token-i {{tok}}-a yaz
5. POST {{baseUrl}}/cards/{{cardId}}/unblock — user2 tokeni ilə göndər
6. Status və code-u yoxla</t>
  </si>
  <si>
    <t>Path: {{cardId}} (user1-in FROZEN kartı); token: user2</t>
  </si>
  <si>
    <t>1. Ön şərt: 201, 200.
2. Status 404, code = "NOT_FOUND" — kart FROZEN qalır.</t>
  </si>
  <si>
    <t>Ön şərt: 201, 200. Status 404, code = "NOT_FOUND" — kart FROZEN qalır. Gözlənilən nəticəyə uyğundur.</t>
  </si>
  <si>
    <t>TC_CRD_NEG_062</t>
  </si>
  <si>
    <t>Token olmadan və ya saxta tokenlə kart açma sorğusunda 401 qaytarılır</t>
  </si>
  <si>
    <t>1. POST {{baseUrl}}/cards/vcd_zzzzzzzz/unblock — Authorization header olmadan
2. Eyni sorğunu saxta tokenlə göndər
3. Status kodlarını yoxla</t>
  </si>
  <si>
    <t>TC_CRD_POS_063</t>
  </si>
  <si>
    <t>Açılmış kartla ödəniş uğurla keçir (201)</t>
  </si>
  <si>
    <t>State Transition (FROZEN → ACTIVE + ödəniş)</t>
  </si>
  <si>
    <t>1. Ön şərt: POST /auth/login (user1) — yeni, boş sandbox; token-i {{tok}}-a yaz
2. Ön şərt: POST /cards, {"accountId": "acc_002", "initialAmount": 100} → 201; id-ni {{cardId}}-ə yaz
3. Ön şərt: POST /cards/{{cardId}}/block, {"reason": "TEMPORARY"} → 200
4. Ön şərt: POST /cards/{{cardId}}/unblock → 200
5. POST {{baseUrl}}/bill-payments göndər — Header-lər: Authorization: Bearer {{tok}}; Content-Type: application/json; Idempotency-Key: {{idemKey}} — yeni unikal açar; Body: {"cardId": "{{cardId}}", "billerId": "azersu", "subscriberNo": "12345678", "amount": 10}
6. Status kodunu yoxla</t>
  </si>
  <si>
    <t>Kart 100 AZN: ACTIVE → FROZEN → ACTIVE; Body: {"cardId": "{{cardId}}", "billerId": "azersu", "subscriberNo": "12345678", "amount": 10}</t>
  </si>
  <si>
    <t>1. Ön şərt: 201, 200, 200.
2. Status 201 Created; status = "SUCCESS"; balanceAfter = 90.</t>
  </si>
  <si>
    <t>Ön şərt: 201, 200, 200. Status 201 Created; status = "SUCCESS"; balanceAfter = 90. Gözlənilən nəticəyə uyğundur.</t>
  </si>
  <si>
    <t>TC_PAY_POS_001</t>
  </si>
  <si>
    <t>Parametrsiz sorğuda 200, total 6 və hər təchizatçıda subscriberPattern, minAmount, maxAmount, fee qaytarılır</t>
  </si>
  <si>
    <t>Equivalence Partitioning (parametrsiz)</t>
  </si>
  <si>
    <t>1. Ön şərt: POST /auth/login (user1) — yeni, boş sandbox; token-i {{tok}}-a yaz
2. GET {{baseUrl}}/billers göndər (Authorization: Bearer {{tok}})
3. total-u və hər elementin sahələrini yoxla</t>
  </si>
  <si>
    <t>1. Status 200 OK.
2. total = 6; items-da 6 element: azerisiq, azersu, azercell, bakcell, citynet, aztelekom.
3. Hər elementdə id, name, category, subscriberFormat, subscriberPattern, minAmount, maxAmount, fee sahələri var.</t>
  </si>
  <si>
    <t>Status 200 OK. total = 6; items-da 6 element: azerisiq, azersu, azercell, bakcell, citynet, aztelekom. Hər elementdə id, name, category, subscriberFormat, subscriberPattern, minAmount, maxAmount, fee sahələri var. Gözlənilən nəticəyə uyğundur.</t>
  </si>
  <si>
    <t>BUG-API-001</t>
  </si>
  <si>
    <t>specs/bank-api/epic3_grad301_get_billers.spec</t>
  </si>
  <si>
    <t>TC_PAY_POS_002</t>
  </si>
  <si>
    <t>Hər təchizatçının kateqoriyası və məbləğ aralığı (minAmount–maxAmount) sənəddəki kataloqla eynidir</t>
  </si>
  <si>
    <t>Pozitiv · Data uyğunluğu</t>
  </si>
  <si>
    <t>Equivalence Partitioning (kataloq dəyərləri)</t>
  </si>
  <si>
    <t>1. Ön şərt: POST /auth/login (user1) — yeni, boş sandbox; token-i {{tok}}-a yaz
2. GET {{baseUrl}}/billers göndər
3. Hər təchizatçının category, minAmount, maxAmount dəyərini kataloq cədvəli ilə müqayisə et</t>
  </si>
  <si>
    <t>Gözlənilən kataloq: azerisiq UTILITY 1–500; azersu UTILITY 1–300; azercell MOBILE 0.5–200; bakcell MOBILE 0.5–200; citynet INTERNET 5–150; aztelekom INTERNET 2–100</t>
  </si>
  <si>
    <t>1. Status 200 OK.
2. 6 təchizatçının hər biri üçün category, minAmount və maxAmount test datasındakı cədvəllə tam eynidir.</t>
  </si>
  <si>
    <t>Status 200 OK. 6 təchizatçının hər biri üçün category, minAmount və maxAmount test datasındakı cədvəllə tam eynidir. Gözlənilən nəticəyə uyğundur.</t>
  </si>
  <si>
    <t>CAT, AC-1</t>
  </si>
  <si>
    <t>TC_PAY_POS_003</t>
  </si>
  <si>
    <t>Komissiya qaydası sənədə uyğundur: CityNet 1% (min 0.20, max 2.00), Aztelekom 0.50 sabit, digərlərində komissiya yoxdur</t>
  </si>
  <si>
    <t>Equivalence Partitioning (komissiya növləri)</t>
  </si>
  <si>
    <t>1. Ön şərt: POST /auth/login (user1) — yeni, boş sandbox; token-i {{tok}}-a yaz
2. GET {{baseUrl}}/billers göndər
3. Hər təchizatçının fee obyektini yoxla</t>
  </si>
  <si>
    <t>citynet → {"type": "PERCENT", "value": 1, "min": 0.2, "max": 2}; aztelekom → value 0.5 (sabit); azerisiq, azersu, azercell, bakcell → komissiya yoxdur</t>
  </si>
  <si>
    <t>1. Status 200 OK.
2. citynet.fee = {"type": "PERCENT", "value": 1, "min": 0.2, "max": 2}.
3. aztelekom.fee.value = 0.5 və type PERCENT deyil.
4. Digər 4 təchizatçıda komissiya yoxdur (fee null, value 0 və ya type NONE).
(komissiyasız və sabit komissiyanın fee formatı sənəddə göstərilməyib.)</t>
  </si>
  <si>
    <t>Status 200 OK. citynet.fee = {"type": "PERCENT", "value": 1, "min": 0.2, "max": 2}. aztelekom.fee.value = 0.5 və type PERCENT deyil. Digər 4 təchizatçıda komissiya yoxdur (fee null, value 0 və ya type NONE). Gözlənilən nəticəyə uyğundur.</t>
  </si>
  <si>
    <t>BUG-API-002, BUG-API-003</t>
  </si>
  <si>
    <t>TC_PAY_POS_004</t>
  </si>
  <si>
    <t>Hər təchizatçının subscriberPattern regex-i sənəddəki formata uyğun nömrələri qəbul, uyğun olmayanları rədd edir</t>
  </si>
  <si>
    <t>Equivalence Partitioning (format sinifləri)</t>
  </si>
  <si>
    <t>1. Ön şərt: POST /auth/login (user1) — yeni, boş sandbox; token-i {{tok}}-a yaz
2. GET {{baseUrl}}/billers göndər
3. Hər subscriberPattern-i test datasındakı düzgün və səhv nömrələrə tətbiq et</t>
  </si>
  <si>
    <t>azerisiq: uyğun 1234567890; uyğun deyil 123456789, 12345678901, 123456789a
azersu: uyğun 12345678; uyğun deyil 1234567, 123456789
azercell: uyğun 501234567, 511234567, 101234567; uyğun deyil 551234567, 991234567, 50123456
bakcell: uyğun 551234567, 991234567; uyğun deyil 501234567, 5512345678
citynet: uyğun CN123456; uyğun deyil CN12345, CN1234567, XN123456
aztelekom: uyğun 1234567; uyğun deyil 123456, 12345678</t>
  </si>
  <si>
    <t>1. Status 200 OK.
2. Hər təchizatçının subscriberPattern-i "uyğun" siyahısındakı bütün nömrələrə uyğun gəlir.
3. "Uyğun deyil" siyahısındakı heç bir nömrəyə uyğun gəlmir (məs. Azercell regex-i Bakcell nömrəsi 551234567-ni qəbul etmir).</t>
  </si>
  <si>
    <t>Status 200 OK. Hər təchizatçının subscriberPattern-i "uyğun" siyahısındakı bütün nömrələrə uyğun gəlir. "Uyğun deyil" siyahısındakı heç bir nömrəyə uyğun gəlmir (məs. Azercell regex-i Bakcell nömrəsi 551234567-ni qəbul etmir). Gözlənilən nəticəyə uyğundur.</t>
  </si>
  <si>
    <t>TC_PAY_POS_005</t>
  </si>
  <si>
    <t>category=MOBILE olduqda yalnız Azercell və Bakcell qaytarılır</t>
  </si>
  <si>
    <t>Equivalence Partitioning (kateqoriya)</t>
  </si>
  <si>
    <t>1. Ön şərt: POST /auth/login (user1) — yeni, boş sandbox; token-i {{tok}}-a yaz
2. GET {{baseUrl}}/billers?category=MOBILE göndər
3. total və items-ı yoxla</t>
  </si>
  <si>
    <t>Query: ?category=MOBILE</t>
  </si>
  <si>
    <t>1. Status 200 OK.
2. total = 2; items: azercell, bakcell — hər ikisinin category = "MOBILE".</t>
  </si>
  <si>
    <t>Status 200 OK. total = 2; items: azercell, bakcell — hər ikisinin category = "MOBILE". Gözlənilən nəticəyə uyğundur.</t>
  </si>
  <si>
    <t>TC_PAY_POS_006</t>
  </si>
  <si>
    <t>category=UTILITY və category=INTERNET olduqda yalnız həmin kateqoriyanın 2 təchizatçısı qaytarılır</t>
  </si>
  <si>
    <t>1. Ön şərt: POST /auth/login (user1) — yeni, boş sandbox; token-i {{tok}}-a yaz
2. GET {{baseUrl}}/billers?category=UTILITY göndər
3. GET {{baseUrl}}/billers?category=INTERNET göndər
4. Hər cavabda total və items-ı yoxla</t>
  </si>
  <si>
    <t>UTILITY: ?category=UTILITY
INTERNET: ?category=INTERNET</t>
  </si>
  <si>
    <t>1. Hər iki sorğuda 200 OK.
2. UTILITY: total 2 — azerisiq, azersu.
3. INTERNET: total 2 — citynet, aztelekom.</t>
  </si>
  <si>
    <t>Hər iki sorğuda 200 OK. UTILITY: total 2 — azerisiq, azersu. INTERNET: total 2 — citynet, aztelekom. Gözlənilən nəticəyə uyğundur.</t>
  </si>
  <si>
    <t>TC_PAY_NEG_007</t>
  </si>
  <si>
    <t>category icazəli dəyər olmadıqda ("GAS") 400 VALIDATION_ERROR qaytarılır</t>
  </si>
  <si>
    <t>1. Ön şərt: POST /auth/login (user1) — yeni, boş sandbox; token-i {{tok}}-a yaz
2. GET {{baseUrl}}/billers?category=GAS göndər
3. Status, code və details-i yoxla</t>
  </si>
  <si>
    <t>Query: ?category=GAS</t>
  </si>
  <si>
    <t>1. Status 400.
2. code = "VALIDATION_ERROR".
3. details-də field = "category" var.</t>
  </si>
  <si>
    <t>Status 400. code = "VALIDATION_ERROR". details-də field = "category" var. Gözlənilən nəticəyə uyğundur.</t>
  </si>
  <si>
    <t>TC_PAY_NEG_008</t>
  </si>
  <si>
    <t>category kiçik hərflə ("mobile") göndərildikdə 400 VALIDATION_ERROR qaytarılır</t>
  </si>
  <si>
    <t>1. Ön şərt: POST /auth/login (user1) — yeni, boş sandbox; token-i {{tok}}-a yaz
2. GET {{baseUrl}}/billers?category=mobile göndər
3. Status və code-u yoxla</t>
  </si>
  <si>
    <t>Query: ?category=mobile</t>
  </si>
  <si>
    <t>1. Status 400.
2. code = "VALIDATION_ERROR" (əvvəlki task-larda da enum dəyərləri registrə həssas çıxıb).</t>
  </si>
  <si>
    <t>Status 400. code = "VALIDATION_ERROR" (əvvəlki task-larda da enum dəyərləri registrə həssas çıxıb). Gözlənilən nəticəyə uyğundur.</t>
  </si>
  <si>
    <t>TC_PAY_NEG_009</t>
  </si>
  <si>
    <t>Token olmadan və ya saxta tokenlə kataloq istədikdə 401 qaytarılır</t>
  </si>
  <si>
    <t>1. GET {{baseUrl}}/billers sorğusunu Authorization header olmadan göndər
2. Eyni sorğunu saxta tokenlə göndər
3. Status kodlarını yoxla</t>
  </si>
  <si>
    <t>TC_PAY_POS_010</t>
  </si>
  <si>
    <t>Etibarlı ödənişdə 201: status SUCCESS, fee 0.50, total = amount + fee, balanceAfter = balans − total, Location header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</si>
  <si>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"citynet", "subscriberNo": "CN123456", "amount": 50}
4. Status, Location header və bütün body sahələrini yoxla</t>
  </si>
  <si>
    <t>Kart: 100 AZN. Body: {"cardId": "{{cardId}}", "billerId": "citynet", "subscriberNo": "CN123456", "amount": 50}</t>
  </si>
  <si>
    <t>1. Status 201 Created; Location = /bill-payments/{id}.
2. id 'bpm_' + 8 simvol; status = "SUCCESS"; receiptNo dolu.
3. biller = {"id": "citynet", "name": "CityNet", "category": "INTERNET"}; subscriberNo = "CN123456"; currency = "AZN"; cardId = {{cardId}}.
4. amount = 50; fee = 0.5; total = 50.5.
5. balanceAfter = 49.5 (100 − 50.5); createdAt ISO 8601.</t>
  </si>
  <si>
    <t>Status 201 Created; Location = /bill-payments/{id}. id 'bpm_' + 8 simvol; status = "SUCCESS"; receiptNo dolu. biller = {"id": "citynet", "name": "CityNet", "category": "INTERNET"}; subscriberNo = "CN123456"; currency = "AZN"; cardId = {{cardId}}. amount = 50; fee = 0.5; total = 50.5. balanceAfter = 49.5 (100 − 50.5); createdAt ISO 8601. Gözlənilən nəticəyə uyğundur.</t>
  </si>
  <si>
    <t>AC-1, AC-9</t>
  </si>
  <si>
    <t>specs/bank-api/epic3_grad302_post_bill_payments.spec</t>
  </si>
  <si>
    <t>TC_PAY_POS_011</t>
  </si>
  <si>
    <t>Ödənişdən sonra GET /cards/{id}-də availableBalance və spentToday total (50.50) qədər dəyişir — amount (50) qədər yox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</si>
  <si>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citynet · CN123456 · 50 AZN → 201
4. GET {{baseUrl}}/cards/{{cardId}} göndər
5. availableBalance və spentToday-i yoxla</t>
  </si>
  <si>
    <t>Kart: 100 AZN; ödəniş: CityNet 50 AZN (fee 0.50, total 50.50)</t>
  </si>
  <si>
    <t>1. Ön şərt: 201, 201.
2. Status 200 OK.
3. availableBalance = 49.5 (100 − 50.50).
4. spentToday = 50.5 — komissiya da xərcə daxildir.</t>
  </si>
  <si>
    <t>Ön şərt: 201, 201. Status 200 OK. availableBalance = 49.5 (100 − 50.50). spentToday = 50.5 — komissiya da xərcə daxildir. Gözlənilən nəticəyə uyğundur.</t>
  </si>
  <si>
    <t>AC-2, NOTE</t>
  </si>
  <si>
    <t>TC_PAY_POS_012</t>
  </si>
  <si>
    <t>Sandbox-da ilk ödənişin qəbzi RCP-YYYYMMDD-000001, növbəti ödənişinki RCP-YYYYMMDD-000002 olur</t>
  </si>
  <si>
    <t>State Transition (qəbz sayğacı)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</si>
  <si>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azersu · 12345678 · 1 AZN → 201; receiptNo-nu qeyd et
4. POST {{baseUrl}}/bill-payments göndər — Header-lər: Authorization: Bearer {{tok}}; Content-Type: application/json; Idempotency-Key: {{idemKey}} — yeni unikal açar; Body: {"cardId": "{{cardId}}", "billerId": "azersu", "subscriberNo": "12345678", "amount": 1}
5. Hər iki receiptNo-nu yoxla</t>
  </si>
  <si>
    <t>Hər iki ödəniş: {"cardId": "{{cardId}}", "billerId": "azersu", "subscriberNo": "12345678", "amount": 1}; YYYYMMDD — icra günü (Bakı vaxtı)</t>
  </si>
  <si>
    <t>1. Ön şərt: 201; birinci receiptNo = "RCP-&lt;bu gün&gt;-000001".
2. Status 201; ikinci receiptNo = "RCP-&lt;bu gün&gt;-000002".
(tarix Bakı vaxtı ilə götürülür — fərziyyə.)</t>
  </si>
  <si>
    <t>Ön şərt: 201; birinci receiptNo = "RCP-&lt;bu gün&gt;-000001". Status 201; ikinci receiptNo = "RCP-&lt;bu gün&gt;-000002". Gözlənilən nəticəyə uyğundur.</t>
  </si>
  <si>
    <t>TC_PAY_BVA_013</t>
  </si>
  <si>
    <t>CityNet komissiyası 1%, min 0.20: 5 → 0.20, 20 → 0.20, 21 → 0.21, 150 → 1.50</t>
  </si>
  <si>
    <t>BVA · Hesablama</t>
  </si>
  <si>
    <t>Boundary Value Analysis (min komissiya sərhədi 20 / 21)</t>
  </si>
  <si>
    <t>1. Ön şərt: POST /auth/login (user1) — yeni, boş sandbox; token-i {{tok}}-a yaz
2. Ön şərt: POST /cards, {"accountId": "acc_002", "initialAmount": 1000} → 201; id-ni {{cardId}}-ə yaz
3. POST {{baseUrl}}/bill-payments göndər — Header-lər: Authorization: Bearer {{tok}}; Content-Type: application/json; Idempotency-Key: {{idemKey}} — yeni unikal açar; Body: {"cardId": "{{cardId}}", "billerId": "citynet", "subscriberNo": "CN123456", "amount": 5}
4. POST {{baseUrl}}/bill-payments göndər — Header-lər: Authorization: Bearer {{tok}}; Content-Type: application/json; Idempotency-Key: {{idemKey}} — yeni unikal açar; Body: {"cardId": "{{cardId}}", "billerId": "citynet", "subscriberNo": "CN123456", "amount": 20}
5. POST {{baseUrl}}/bill-payments göndər — Header-lər: Authorization: Bearer {{tok}}; Content-Type: application/json; Idempotency-Key: {{idemKey}} — yeni unikal açar; Body: {"cardId": "{{cardId}}", "billerId": "citynet", "subscriberNo": "CN123456", "amount": 21}
6. POST {{baseUrl}}/bill-payments göndər — Header-lər: Authorization: Bearer {{tok}}; Content-Type: application/json; Idempotency-Key: {{idemKey}} — yeni unikal açar; Body: {"cardId": "{{cardId}}", "billerId": "citynet", "subscriberNo": "CN123456", "amount": 150}
7. Hər cavabda fee, total və balanceAfter-i yoxla</t>
  </si>
  <si>
    <t>Kart: 1000 AZN. CityNet (CN123456) məbləğləri ardıcıl: 5, 20, 21, 150</t>
  </si>
  <si>
    <t>1. Hər sorğuda 201.
2. amount 5 → fee 0.20, total 5.2, balanceAfter 994.8
3. amount 20 → fee 0.20, total 20.2, balanceAfter 974.6
4. amount 21 → fee 0.21, total 21.21, balanceAfter 953.39
5. amount 150 → fee 1.50, total 151.5, balanceAfter 801.89</t>
  </si>
  <si>
    <t>Hər sorğuda 201. amount 5 → fee 0.20, total 5.2, balanceAfter 994.8. amount 20 → fee 0.20, total 20.2, balanceAfter 974.6. amount 21 → fee 0.21, total 21.21, balanceAfter 953.39. amount 150 → fee 1.50, total 151.5, balanceAfter 801.89. Gözlənilən nəticəyə uyğundur.</t>
  </si>
  <si>
    <t>BUG-API-002</t>
  </si>
  <si>
    <t>AC-9, FEE</t>
  </si>
  <si>
    <t>TC_PAY_EDGE_014</t>
  </si>
  <si>
    <t>CityNet 20.50 AZN üçün komissiya 0.205 yuxarı yuvarlaqlaşdırılaraq 0.21 olur</t>
  </si>
  <si>
    <t>Edge Case · Hesablama</t>
  </si>
  <si>
    <t>Boundary Value Analysis (yuvarlaqlaşdırma sərhədi 0.005)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</si>
  <si>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"citynet", "subscriberNo": "CN123456", "amount": 20.5}
4. fee və total-u yoxla</t>
  </si>
  <si>
    <t>Kart 100 AZN; CityNet 20.50 → 1% = 0.205</t>
  </si>
  <si>
    <t>1. Status 201.
2. fee = 0.21; total = 20.71; balanceAfter = 79.29.
(sənəd yalnız "2 onluğa yuvarlaqlaşdırılır" deyir; maliyyədə adi qayda half-up-dır — 0.205 → 0.21. 0.20 qaytarılarsa, bu, float yuvarlaqlaşdırma xətasıdır.)</t>
  </si>
  <si>
    <t>Status 201. fee = 0.21; total = 20.71; balanceAfter = 79.29. Gözlənilən nəticəyə uyğundur.</t>
  </si>
  <si>
    <t>FEE, AC-9</t>
  </si>
  <si>
    <t>TC_PAY_POS_015</t>
  </si>
  <si>
    <t>Aztelekom komissiyası məbləğdən asılı olmayaraq 0.50 sabitdir (2 AZN və 100 AZN)</t>
  </si>
  <si>
    <t>Pozitiv · Hesablama</t>
  </si>
  <si>
    <t>Boundary Value Analysis (min = 2, max = 100)</t>
  </si>
  <si>
    <t>1. Ön şərt: POST /auth/login (user1) — yeni, boş sandbox; token-i {{tok}}-a yaz
2. Ön şərt: POST /cards, {"accountId": "acc_002", "initialAmount": 200} → 201; id-ni {{cardId}}-ə yaz
3. POST {{baseUrl}}/bill-payments göndər — Header-lər: Authorization: Bearer {{tok}}; Content-Type: application/json; Idempotency-Key: {{idemKey}} — yeni unikal açar; Body: {"cardId": "{{cardId}}", "billerId": "aztelekom", "subscriberNo": "1234567", "amount": 2}
4. POST {{baseUrl}}/bill-payments göndər — Header-lər: Authorization: Bearer {{tok}}; Content-Type: application/json; Idempotency-Key: {{idemKey}} — yeni unikal açar; Body: {"cardId": "{{cardId}}", "billerId": "aztelekom", "subscriberNo": "1234567", "amount": 100}
5. fee və total-u yoxla</t>
  </si>
  <si>
    <t>Kart 200 AZN. Aztelekom (1234567): 2 AZN, sonra 100 AZN</t>
  </si>
  <si>
    <t>1. Hər iki sorğuda 201.
2. 2 AZN → fee 0.5, total 2.5, balanceAfter 197.5.
3. 100 AZN → fee 0.5, total 100.5, balanceAfter 97.</t>
  </si>
  <si>
    <t>Hər iki sorğuda 201. 2 AZN → fee 0.5, total 2.5, balanceAfter 197.5. 100 AZN → fee 0.5, total 100.5, balanceAfter 97. Gözlənilən nəticəyə uyğundur.</t>
  </si>
  <si>
    <t>AC-10, FEE</t>
  </si>
  <si>
    <t>TC_PAY_POS_016</t>
  </si>
  <si>
    <t>Komissiyası olmayan təchizatçılarda (Azərişıq, Azərsu, Azercell, Bakcell) fee 0 və total = amount olur</t>
  </si>
  <si>
    <t>Equivalence Partitioning (komissiyasız təchizatçılar)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</si>
  <si>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"azerisiq", "subscriberNo": "1234567890", "amount": 10}
4. POST {{baseUrl}}/bill-payments göndər — Header-lər: Authorization: Bearer {{tok}}; Content-Type: application/json; Idempotency-Key: {{idemKey}} — yeni unikal açar; Body: {"cardId": "{{cardId}}", "billerId": "azersu", "subscriberNo": "12345678", "amount": 10}
5. POST {{baseUrl}}/bill-payments göndər — Header-lər: Authorization: Bearer {{tok}}; Content-Type: application/json; Idempotency-Key: {{idemKey}} — yeni unikal açar; Body: {"cardId": "{{cardId}}", "billerId": "azercell", "subscriberNo": "501234567", "amount": 10}
6. POST {{baseUrl}}/bill-payments göndər — Header-lər: Authorization: Bearer {{tok}}; Content-Type: application/json; Idempotency-Key: {{idemKey}} — yeni unikal açar; Body: {"cardId": "{{cardId}}", "billerId": "bakcell", "subscriberNo": "551234567", "amount": 10}
7. Hər cavabda fee, total və balanceAfter-i yoxla</t>
  </si>
  <si>
    <t>Kart 100 AZN. Hər biri 10 AZN: azerisiq 1234567890, azersu 12345678, azercell 501234567, bakcell 551234567</t>
  </si>
  <si>
    <t>1. Hər sorğuda 201.
2. Hər birində fee = 0, total = 10.
3. balanceAfter ardıcıl: 90, 80, 70, 60.</t>
  </si>
  <si>
    <t>Hər sorğuda 201. Hər birində fee = 0, total = 10. balanceAfter ardıcıl: 90, 80, 70, 60. Gözlənilən nəticəyə uyğundur.</t>
  </si>
  <si>
    <t>BUG-API-003</t>
  </si>
  <si>
    <t>FEE, PAR</t>
  </si>
  <si>
    <t>TC_PAY_POS_017</t>
  </si>
  <si>
    <t>Eyni Idempotency-Key və eyni body təkrar göndərildikdə 200, eyni id və Idempotent-Replay: true qaytarılır</t>
  </si>
  <si>
    <t>Pozitiv · Idempotentlik</t>
  </si>
  <si>
    <t>State Transition (açar istifadə olunub → təkrar)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</si>
  <si>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citynet · CN123456 · 50 AZN — Idempotency-Key = K; cavabdakı id-ni qeyd et → 201
4. POST {{baseUrl}}/bill-payments göndər — Header-lər: Authorization: Bearer {{tok}}; Content-Type: application/json; Idempotency-Key: K (eyni açar); Body: {"cardId": "{{cardId}}", "billerId": "citynet", "subscriberNo": "CN123456", "amount": 50}
5. Status, id və Idempotent-Replay header-ini yoxla</t>
  </si>
  <si>
    <t>Kart 100 AZN; hər iki sorğu: {"cardId":"{{cardId}}","billerId":"citynet","subscriberNo":"CN123456","amount":50}; eyni açar K</t>
  </si>
  <si>
    <t>1. Ön şərt: 201, 201.
2. Status 200 (201 deyil).
3. id birinci ödənişin id-si ilə eynidir.
4. Response header Idempotent-Replay = true.
5. balanceAfter = 49.5 (birinci cavabdakı ilə eyni).</t>
  </si>
  <si>
    <t>Ön şərt: 201, 201. Status 200 (201 deyil). id birinci ödənişin id-si ilə eynidir. Response header Idempotent-Replay = true. balanceAfter = 49.5 (birinci cavabdakı ilə eyni). Gözlənilən nəticəyə uyğundur.</t>
  </si>
  <si>
    <t>AC-4, HDR</t>
  </si>
  <si>
    <t>TC_PAY_POS_018</t>
  </si>
  <si>
    <t>Təkrar (replay) sorğudan sonra kartın balansı yalnız bir dəfə azalmış olur</t>
  </si>
  <si>
    <t>State Transition (ödəniş + replay → balans)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</si>
  <si>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citynet · CN123456 · 50 AZN — açar K → 201
4. Ön şərt: eyni sorğunu eyni açar K ilə yenidən göndər → 200
5. GET {{baseUrl}}/cards/{{cardId}} göndər
6. availableBalance və spentToday-i yoxla</t>
  </si>
  <si>
    <t>Kart 100 AZN; ödəniş {"cardId":"{{cardId}}","billerId":"citynet","subscriberNo":"CN123456","amount":50} iki dəfə, eyni açar K ilə</t>
  </si>
  <si>
    <t>1. Ön şərt: 201, 201, 200.
2. Status 200 OK.
3. availableBalance = 49.5 (50.50 yalnız bir dəfə çıxılıb, 101 deyil).
4. spentToday = 50.5.</t>
  </si>
  <si>
    <t>Ön şərt: 201, 201, 200. Status 200 OK. availableBalance = 49.5 (50.50 yalnız bir dəfə çıxılıb, 101 deyil). spentToday = 50.5. Gözlənilən nəticəyə uyğundur.</t>
  </si>
  <si>
    <t>TC_PAY_NEG_019</t>
  </si>
  <si>
    <t>Eyni Idempotency-Key fərqli məbləğlə göndərildikdə 409 IDEMPOTENCY_CONFLICT qaytarılır</t>
  </si>
  <si>
    <t>Neqativ · Idempotentlik</t>
  </si>
  <si>
    <t>State Transition (açar istifadə olunub → fərqli body)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</si>
  <si>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citynet · CN123456 · 50 AZN — açar K → 201
4. POST {{baseUrl}}/bill-payments göndər — Header-lər: Authorization: Bearer {{tok}}; Content-Type: application/json; Idempotency-Key: K (eyni açar); Body: {"cardId": "{{cardId}}", "billerId": "citynet", "subscriberNo": "CN123456", "amount": 60}
5. Status və code-u yoxla</t>
  </si>
  <si>
    <t>Birinci: {"cardId":"{{cardId}}","billerId":"citynet","subscriberNo":"CN123456","amount":50} (açar K); ikinci: amount 60, eyni açar K</t>
  </si>
  <si>
    <t>1. Ön şərt: 201, 201.
2. Status 409.
3. code = "IDEMPOTENCY_CONFLICT"; ikinci ödəniş edilmir.</t>
  </si>
  <si>
    <t>Ön şərt: 201, 201. Status 409. code = "IDEMPOTENCY_CONFLICT"; ikinci ödəniş edilmir. Gözlənilən nəticəyə uyğundur.</t>
  </si>
  <si>
    <t>TC_PAY_NEG_020</t>
  </si>
  <si>
    <t>Idempotency-Key header-i olmadıqda 400 IDEMPOTENCY_KEY_REQUIRED qaytarılır</t>
  </si>
  <si>
    <t>Equivalence Partitioning (məcburi header yoxdur)</t>
  </si>
  <si>
    <t>1. Ön şərt: POST /auth/login (user1) — yeni, boş sandbox; token-i {{tok}}-a yaz
2. Ön şərt: POST /cards, {"accountId": "acc_002", "initialAmount": 100} → 201; id-ni {{cardId}}-ə yaz
3. POST {{baseUrl}}/bill-payments — Idempotency-Key header-i OLMADAN göndər; Body: {"cardId": "{{cardId}}", "billerId": "azersu", "subscriberNo": "12345678", "amount": 10}
4. Status və code-u yoxla</t>
  </si>
  <si>
    <t>Body: {"cardId": "{{cardId}}", "billerId": "azersu", "subscriberNo": "12345678", "amount": 10}; Idempotency-Key göndərilmir</t>
  </si>
  <si>
    <t>1. Ön şərt: 201.
2. Status 400.
3. code = "IDEMPOTENCY_KEY_REQUIRED".</t>
  </si>
  <si>
    <t>Ön şərt: 201. Status 400. code = "IDEMPOTENCY_KEY_REQUIRED". Gözlənilən nəticəyə uyğundur.</t>
  </si>
  <si>
    <t>AC-6, HDR</t>
  </si>
  <si>
    <t>TC_PAY_BVA_021</t>
  </si>
  <si>
    <t>Idempotency-Key 7 simvol (min − 1) və 65 simvol (max + 1) olduqda 400 IDEMPOTENCY_KEY_INVALID qaytarılır</t>
  </si>
  <si>
    <t>Boundary Value Analysis (8 − 1, 64 + 1)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</si>
  <si>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"abcdefg" (7 simvol); Body: {"cardId": "{{cardId}}", "billerId": "azersu", "subscriberNo": "12345678", "amount": 10}
4. POST {{baseUrl}}/bill-payments göndər — Header-lər: Authorization: Bearer {{tok}}; Content-Type: application/json; Idempotency-Key: "a" × 65; Body: {"cardId": "{{cardId}}", "billerId": "azersu", "subscriberNo": "12345678", "amount": 10}
5. Status və code-u yoxla</t>
  </si>
  <si>
    <t>7 simvol: abcdefg
65 simvol: aaaa…a (65 dəfə)</t>
  </si>
  <si>
    <t>1. Ön şərt: 201.
2. Hər iki sorğuda status 400.
3. code = "IDEMPOTENCY_KEY_INVALID".</t>
  </si>
  <si>
    <t>Ön şərt: 201. Hər iki sorğuda status 400. code = "IDEMPOTENCY_KEY_INVALID". Gözlənilən nəticəyə uyğundur.</t>
  </si>
  <si>
    <t>HDR, ERR</t>
  </si>
  <si>
    <t>TC_PAY_BVA_022</t>
  </si>
  <si>
    <t>Idempotency-Key 8 simvol (min) və 64 simvol (max) olduqda ödəniş qəbul edilir</t>
  </si>
  <si>
    <t>Boundary Value Analysis (min = 8, max = 64)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</si>
  <si>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{{key8}} (8 simvol, təsadüfi); Body: {"cardId": "{{cardId}}", "billerId": "azersu", "subscriberNo": "12345678", "amount": 10}
4. POST {{baseUrl}}/bill-payments göndər — Header-lər: Authorization: Bearer {{tok}}; Content-Type: application/json; Idempotency-Key: {{key64}} (64 simvol, təsadüfi); Body: {"cardId": "{{cardId}}", "billerId": "azersu", "subscriberNo": "12345678", "amount": 10}
5. Status kodlarını yoxla</t>
  </si>
  <si>
    <t>Açarlar Pre-request-də təsadüfi yaradılır: 8 və 64 simvol</t>
  </si>
  <si>
    <t>1. Ön şərt: 201.
2. Hər iki sorğuda 201 Created; balanceAfter 90, sonra 80.</t>
  </si>
  <si>
    <t>Ön şərt: 201. Hər iki sorğuda 201 Created; balanceAfter 90, sonra 80. Gözlənilən nəticəyə uyğundur.</t>
  </si>
  <si>
    <t>HDR</t>
  </si>
  <si>
    <t>TC_PAY_EDGE_023</t>
  </si>
  <si>
    <t>Uğursuz (422) sorğunun açarı ilə düzəldilmiş sorğu göndərildikdə 201 qaytarılır (açar istifadə olunmayıb)</t>
  </si>
  <si>
    <t>Edge Case · Idempotentlik</t>
  </si>
  <si>
    <t>State Transition (uğursuz sorğu → eyni açar)</t>
  </si>
  <si>
    <t>1. Ön şərt: POST /auth/login (user1) — yeni, boş sandbox; token-i {{tok}}-a yaz
2. Ön şərt: POST /cards, {"accountId": "acc_002", "initialAmount": 100} → 201; id-ni {{cardId}}-ə yaz
3. Ön şərt: POST /bill-payments, açar K, azercell 0.49 AZN → 422 AMOUNT_OUT_OF_RANGE
4. POST {{baseUrl}}/bill-payments göndər — Header-lər: Authorization: Bearer {{tok}}; Content-Type: application/json; Idempotency-Key: K (eyni açar); Body: {"cardId": "{{cardId}}", "billerId": "azercell", "subscriberNo": "501234567", "amount": 10}
5. Status kodunu yoxla</t>
  </si>
  <si>
    <t>Birinci: azercell 501234567 · 0.49 (açar K) → 422; ikinci: eyni açar K, amount 10</t>
  </si>
  <si>
    <t>1. Ön şərt: 201, 422.
2. Status 201 Created — 409 IDEMPOTENCY_CONFLICT qaytarılmır, çünki uğursuz sorğu açarı "istifadə etmir".</t>
  </si>
  <si>
    <t>Ön şərt: 201, 422. Status 201 Created — 409 IDEMPOTENCY_CONFLICT qaytarılmır, çünki uğursuz sorğu açarı "istifadə etmir". Gözlənilən nəticəyə uyğundur.</t>
  </si>
  <si>
    <t>NOTE, AC-5</t>
  </si>
  <si>
    <t>TC_PAY_EDGE_024</t>
  </si>
  <si>
    <t>Eyni body fərqli açarlarla göndərildikdə iki ayrı ödəniş yaranır və balans iki dəfə azalır</t>
  </si>
  <si>
    <t>Equivalence Partitioning (fərqli açar)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</si>
  <si>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citynet · CN123456 · 20 AZN — açar A; id-ni qeyd et → 201
4. POST {{baseUrl}}/bill-payments göndər — Header-lər: Authorization: Bearer {{tok}}; Content-Type: application/json; Idempotency-Key: B (yeni açar); Body: {"cardId": "{{cardId}}", "billerId": "citynet", "subscriberNo": "CN123456", "amount": 20}
5. Status, id və balanceAfter-i yoxla</t>
  </si>
  <si>
    <t>Hər iki sorğu: {"cardId": "{{cardId}}", "billerId": "citynet", "subscriberNo": "CN123456", "amount": 20} (fee 0.20, total 20.20); açarlar fərqlidir</t>
  </si>
  <si>
    <t>1. Ön şərt: 201, 201.
2. Status 201 Created (200 replay deyil).
3. id birinci ödənişin id-sindən fərqlidir.
4. balanceAfter = 59.6 (100 − 2 × 20.20).</t>
  </si>
  <si>
    <t>Ön şərt: 201, 201. Status 201 Created (200 replay deyil). id birinci ödənişin id-sindən fərqlidir. balanceAfter = 59.6 (100 − 2 × 20.20). Gözlənilən nəticəyə uyğundur.</t>
  </si>
  <si>
    <t>TC_PAY_NEG_025</t>
  </si>
  <si>
    <t>amount mətn kimi ("10") göndərildikdə 400 VALIDATION_ERROR qaytarılır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</si>
  <si>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"azersu", "subscriberNo": "12345678", "amount": "10"}
4. Status, code və details-i yoxla</t>
  </si>
  <si>
    <t>{"cardId": "{{cardId}}", "billerId": "azersu", "subscriberNo": "12345678", "amount": "10"}</t>
  </si>
  <si>
    <t>1. Ön şərt: 201.
2. Status 400.
3. code = "VALIDATION_ERROR"; details-də field = "amount".</t>
  </si>
  <si>
    <t>Ön şərt: 201. Status 400. code = "VALIDATION_ERROR"; details-də field = "amount". Gözlənilən nəticəyə uyğundur.</t>
  </si>
  <si>
    <t>AC-15</t>
  </si>
  <si>
    <t>TC_PAY_NEG_026</t>
  </si>
  <si>
    <t>amount 0, mənfi (−5) və ya 3 onluqlu (10.555) olduqda 400 VALIDATION_ERROR qaytarılır</t>
  </si>
  <si>
    <t>Equivalence Partitioning (&gt; 0, ≤ 2 onluq)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</si>
  <si>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"azersu", "subscriberNo": "12345678", "amount": 0}
4. POST {{baseUrl}}/bill-payments göndər — Header-lər: Authorization: Bearer {{tok}}; Content-Type: application/json; Idempotency-Key: {{idemKey}} — yeni unikal açar; Body: {"cardId": "{{cardId}}", "billerId": "azersu", "subscriberNo": "12345678", "amount": -5}
5. POST {{baseUrl}}/bill-payments göndər — Header-lər: Authorization: Bearer {{tok}}; Content-Type: application/json; Idempotency-Key: {{idemKey}} — yeni unikal açar; Body: {"cardId": "{{cardId}}", "billerId": "azersu", "subscriberNo": "12345678", "amount": 10.555}
6. Status, code və details-i yoxla</t>
  </si>
  <si>
    <t>0: {"cardId": "{{cardId}}", "billerId": "azersu", "subscriberNo": "12345678", "amount": 0}
−5: {"cardId": "{{cardId}}", "billerId": "azersu", "subscriberNo": "12345678", "amount": -5}
10.555: {"cardId": "{{cardId}}", "billerId": "azersu", "subscriberNo": "12345678", "amount": 10.555}</t>
  </si>
  <si>
    <t>1. Ön şərt: 201.
2. Hər üç sorğuda status 400.
3. code = "VALIDATION_ERROR"; details-də field = "amount" (422 AMOUNT_OUT_OF_RANGE deyil — bu, sahə validasiyasıdır).</t>
  </si>
  <si>
    <t>Ön şərt: 201. Hər üç sorğuda status 400. code = "VALIDATION_ERROR"; details-də field = "amount" (422 AMOUNT_OUT_OF_RANGE deyil — bu, sahə validasiyasıdır). Gözlənilən nəticəyə uyğundur.</t>
  </si>
  <si>
    <t>TC_PAY_NEG_027</t>
  </si>
  <si>
    <t>Bütün məcburi sahələr göndərilmədikdə (body {}) details-də hər sahə ayrıca qaytarılır</t>
  </si>
  <si>
    <t>Equivalence Partitioning (məcburi sahələr yoxdur)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</si>
  <si>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{}
4. Status, code və details-i yoxla</t>
  </si>
  <si>
    <t>{}</t>
  </si>
  <si>
    <t>1. Ön şərt: 201.
2. Status 400; code = "VALIDATION_ERROR".
3. details-də 4 element: cardId, billerId, subscriberNo, amount — hər biri bir dəfə.</t>
  </si>
  <si>
    <t>Ön şərt: 201. Status 400; code = "VALIDATION_ERROR". details-də 4 element: cardId, billerId, subscriberNo, amount — hər biri bir dəfə. Gözlənilən nəticəyə uyğundur.</t>
  </si>
  <si>
    <t>TC_PAY_NEG_028</t>
  </si>
  <si>
    <t>Azercell-ə Bakcell nömrəsi (551234567) ilə ödənişdə 422 INVALID_SUBSCRIBER və cavabda expected qaytarılır</t>
  </si>
  <si>
    <t>Equivalence Partitioning (başqa operatorun formatı)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</si>
  <si>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"azercell", "subscriberNo": "551234567", "amount": 10}
4. Status, code və details-i yoxla</t>
  </si>
  <si>
    <t>{"cardId": "{{cardId}}", "billerId": "azercell", "subscriberNo": "551234567", "amount": 10}</t>
  </si>
  <si>
    <t>1. Ön şərt: 201.
2. Status 422.
3. code = "INVALID_SUBSCRIBER".
4. Body-də expected sahəsi var (Azercell formatı göstərilir).</t>
  </si>
  <si>
    <t>Ön şərt: 201. Status 422. code = "INVALID_SUBSCRIBER". Body-də expected sahəsi var (Azercell formatı göstərilir). Gözlənilən nəticəyə uyğundur.</t>
  </si>
  <si>
    <t>AC-7, ERR</t>
  </si>
  <si>
    <t>TC_PAY_NEG_029</t>
  </si>
  <si>
    <t>Abunəçi nömrəsi təchizatçının formatına uymadıqda (Azərişıq 9 rəqəm, CityNet CN + 5 rəqəm, Aztelekom 8 rəqəm) 422 INVALID_SUBSCRIBER qaytarılır</t>
  </si>
  <si>
    <t>Boundary Value Analysis (format uzunluğu ± 1)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</si>
  <si>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"azerisiq", "subscriberNo": "123456789", "amount": 10}
4. POST {{baseUrl}}/bill-payments göndər — Header-lər: Authorization: Bearer {{tok}}; Content-Type: application/json; Idempotency-Key: {{idemKey}} — yeni unikal açar; Body: {"cardId": "{{cardId}}", "billerId": "citynet", "subscriberNo": "CN12345", "amount": 10}
5. POST {{baseUrl}}/bill-payments göndər — Header-lər: Authorization: Bearer {{tok}}; Content-Type: application/json; Idempotency-Key: {{idemKey}} — yeni unikal açar; Body: {"cardId": "{{cardId}}", "billerId": "aztelekom", "subscriberNo": "12345678", "amount": 10}
6. Status, code və details-i yoxla</t>
  </si>
  <si>
    <t>azerisiq 9 rəqəm: {"cardId": "{{cardId}}", "billerId": "azerisiq", "subscriberNo": "123456789", "amount": 10}
citynet CN12345: {"cardId": "{{cardId}}", "billerId": "citynet", "subscriberNo": "CN12345", "amount": 10}
aztelekom 8 rəqəm: {"cardId": "{{cardId}}", "billerId": "aztelekom", "subscriberNo": "12345678", "amount": 10}</t>
  </si>
  <si>
    <t>1. Ön şərt: 201.
2. Hər üç sorğuda status 422.
3. code = "INVALID_SUBSCRIBER".</t>
  </si>
  <si>
    <t>Ön şərt: 201. Hər üç sorğuda status 422. code = "INVALID_SUBSCRIBER". Gözlənilən nəticəyə uyğundur.</t>
  </si>
  <si>
    <t>TC_PAY_BVA_030</t>
  </si>
  <si>
    <t>Azercell məbləği 0.49 (min − 0.01) və 200.01 (max + 0.01) olduqda 422 AMOUNT_OUT_OF_RANGE qaytarılır</t>
  </si>
  <si>
    <t>Boundary Value Analysis (0.50 − 0.01, 200 + 0.01)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</si>
  <si>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"azercell", "subscriberNo": "501234567", "amount": 0.49}
4. POST {{baseUrl}}/bill-payments göndər — Header-lər: Authorization: Bearer {{tok}}; Content-Type: application/json; Idempotency-Key: {{idemKey}} — yeni unikal açar; Body: {"cardId": "{{cardId}}", "billerId": "azercell", "subscriberNo": "501234567", "amount": 200.01}
5. Status, code və details-i yoxla</t>
  </si>
  <si>
    <t>0.49: {"cardId": "{{cardId}}", "billerId": "azercell", "subscriberNo": "501234567", "amount": 0.49}
200.01: {"cardId": "{{cardId}}", "billerId": "azercell", "subscriberNo": "501234567", "amount": 200.01}</t>
  </si>
  <si>
    <t>1. Ön şərt: 201.
2. Hər iki sorğuda status 422.
3. code = "AMOUNT_OUT_OF_RANGE".</t>
  </si>
  <si>
    <t>Ön şərt: 201. Hər iki sorğuda status 422. code = "AMOUNT_OUT_OF_RANGE". Gözlənilən nəticəyə uyğundur.</t>
  </si>
  <si>
    <t>TC_PAY_BVA_031</t>
  </si>
  <si>
    <t>Azercell məbləği 0.50 (min) və 200.00 (max) olduqda ödəniş qəbul edilir</t>
  </si>
  <si>
    <t>Boundary Value Analysis (min = 0.50, max = 200)</t>
  </si>
  <si>
    <t>1. Ön şərt: POST /auth/login (user1) — yeni, boş sandbox; token-i {{tok}}-a yaz
2. Ön şərt: POST /cards, {"accountId": "acc_002", "initialAmount": 300} → 201; id-ni {{cardId}}-ə yaz
3. POST {{baseUrl}}/bill-payments göndər — Header-lər: Authorization: Bearer {{tok}}; Content-Type: application/json; Idempotency-Key: {{idemKey}} — yeni unikal açar; Body: {"cardId": "{{cardId}}", "billerId": "azercell", "subscriberNo": "501234567", "amount": 0.5}
4. POST {{baseUrl}}/bill-payments göndər — Header-lər: Authorization: Bearer {{tok}}; Content-Type: application/json; Idempotency-Key: {{idemKey}} — yeni unikal açar; Body: {"cardId": "{{cardId}}", "billerId": "azercell", "subscriberNo": "501234567", "amount": 200}
5. Status və balanceAfter-i yoxla</t>
  </si>
  <si>
    <t>Kart 300 AZN; Azercell 501234567: 0.50, sonra 200.00</t>
  </si>
  <si>
    <t>1. Hər iki sorğuda 201.
2. 0.50 → fee 0, balanceAfter 299.5.
3. 200.00 → fee 0, balanceAfter 99.5.</t>
  </si>
  <si>
    <t>Hər iki sorğuda 201. 0.50 → fee 0, balanceAfter 299.5. 200.00 → fee 0, balanceAfter 99.5. Gözlənilən nəticəyə uyğundur.</t>
  </si>
  <si>
    <t>TC_PAY_NEG_032</t>
  </si>
  <si>
    <t>Kataloqda olmayan təchizatçı ("gasco") ilə ödənişdə 404 BILLER_NOT_FOUND qaytarılır</t>
  </si>
  <si>
    <t>Equivalence Partitioning (mövcud olmayan təchizatçı)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</si>
  <si>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"{{cardId}}", "billerId": "gasco", "subscriberNo": "12345678", "amount": 10}
4. Status, code və details-i yoxla</t>
  </si>
  <si>
    <t>{"cardId": "{{cardId}}", "billerId": "gasco", "subscriberNo": "12345678", "amount": 10}</t>
  </si>
  <si>
    <t>1. Ön şərt: 201.
2. Status 404.
3. code = "BILLER_NOT_FOUND".</t>
  </si>
  <si>
    <t>Ön şərt: 201. Status 404. code = "BILLER_NOT_FOUND". Gözlənilən nəticəyə uyğundur.</t>
  </si>
  <si>
    <t>TC_PAY_NEG_033</t>
  </si>
  <si>
    <t>Body etibarsız JSON olduqda 400 qaytarılır və ödəniş edilmir</t>
  </si>
  <si>
    <t>1. Ön şərt: POST /auth/login (user1) — yeni, boş sandbox; token-i {{tok}}-a yaz
2. Ön şərt: POST /cards, {"accountId": "acc_002", "initialAmount": 100} → 201; id-ni {{cardId}}-ə yaz
3. POST {{baseUrl}}/bill-payments — Header-lər: Authorization, Content-Type, Idempotency-Key (yeni); Body (raw): {"cardId": "{{cardId}}", "billerId": 
4. Status, code və details-i yoxla</t>
  </si>
  <si>
    <t xml:space="preserve">{"cardId": "{{cardId}}", "billerId": </t>
  </si>
  <si>
    <t>1. Ön şərt: 201.
2. Status 400; code = "INVALID_JSON" və ya "VALIDATION_ERROR".
(yoxlama ardıcıllığında JSON addımı var, amma xəta cədvəlində INVALID_JSON yoxdur.)</t>
  </si>
  <si>
    <t>Ön şərt: 201. Status 400; code = "INVALID_JSON" və ya "VALIDATION_ERROR". Gözlənilən nəticəyə uyğundur.</t>
  </si>
  <si>
    <t>TC_PAY_NEG_034</t>
  </si>
  <si>
    <t>USD kartı (user2) ilə ödənişdə 422 CURRENCY_NOT_SUPPORTED qaytarılır</t>
  </si>
  <si>
    <t>Equivalence Partitioning (valyuta ≠ AZN)</t>
  </si>
  <si>
    <t>1. Ön şərt: POST /auth/login (user2) — yeni, boş sandbox; token-i {{tok}}-a yaz
2. Ön şərt: POST /cards, {"accountId": "acc_003", "initialAmount": 100} → 201; id-ni {{cardId}}-ə yaz
3. POST {{baseUrl}}/bill-payments göndər — Header-lər: Authorization: Bearer {{tok}}; Content-Type: application/json; Idempotency-Key: {{idemKey}} — yeni unikal açar; Body: {"cardId": "{{cardId}}", "billerId": "azersu", "subscriberNo": "12345678", "amount": 10}
4. Status və code-u yoxla</t>
  </si>
  <si>
    <t>user2 · acc_003 (USD) kartı 100 USD; Body: azersu 12345678 · 10</t>
  </si>
  <si>
    <t>1. Ön şərt: 201.
2. Status 422.
3. code = "CURRENCY_NOT_SUPPORTED".</t>
  </si>
  <si>
    <t>Ön şərt: 201. Status 422. code = "CURRENCY_NOT_SUPPORTED". Gözlənilən nəticəyə uyğundur.</t>
  </si>
  <si>
    <t>AC-14</t>
  </si>
  <si>
    <t>TC_PAY_NEG_035</t>
  </si>
  <si>
    <t>Mövcud olmayan kartla (vcd_zzzzzzzz) ödənişdə 404 CARD_NOT_FOUND qaytarılır</t>
  </si>
  <si>
    <t>Equivalence Partitioning (mövcud olmayan kart)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</si>
  <si>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"vcd_zzzzzzzz", "billerId": "azersu", "subscriberNo": "12345678", "amount": 10}
4. Status, code və details-i yoxla</t>
  </si>
  <si>
    <t>{"cardId": "vcd_zzzzzzzz", "billerId": "azersu", "subscriberNo": "12345678", "amount": 10}</t>
  </si>
  <si>
    <t>1. Ön şərt: 201.
2. Status 404.
3. code = "CARD_NOT_FOUND".</t>
  </si>
  <si>
    <t>Ön şərt: 201. Status 404. code = "CARD_NOT_FOUND". Gözlənilən nəticəyə uyğundur.</t>
  </si>
  <si>
    <t>TC_PAY_EDGE_036</t>
  </si>
  <si>
    <t>user2 user1-in kartı ilə ödəniş etməyə çalışdıqda 404 CARD_NOT_FOUND qaytarılır</t>
  </si>
  <si>
    <t>Equivalence Partitioning (başqasının kartı)</t>
  </si>
  <si>
    <t>1. Ön şərt: POST /auth/login (user1) — yeni, boş sandbox; token-i {{tok}}-a yaz
2. Ön şərt: POST /cards, {"accountId": "acc_002", "initialAmount": 100} → 201; id-ni {{cardId}}-ə yaz
3. Ön şərt: POST /auth/login (user2) — yeni, boş sandbox; token-i {{tok}}-a yaz
4. POST {{baseUrl}}/bill-payments göndər — Header-lər: Authorization: Bearer {{tok}}; Content-Type: application/json; Idempotency-Key: {{idemKey}} — yeni unikal açar; Body: {"cardId": "{{cardId}}", "billerId": "azersu", "subscriberNo": "12345678", "amount": 10} — user2 tokeni ilə
5. Status və code-u yoxla</t>
  </si>
  <si>
    <t>Kart: user1-in kartı ({{cardId}}); token: user2</t>
  </si>
  <si>
    <t>1. Ön şərt: 201.
2. Status 404.
3. code = "CARD_NOT_FOUND" — user1-in balansı dəyişmir.</t>
  </si>
  <si>
    <t>Ön şərt: 201. Status 404. code = "CARD_NOT_FOUND" — user1-in balansı dəyişmir. Gözlənilən nəticəyə uyğundur.</t>
  </si>
  <si>
    <t>TC_PAY_NEG_037</t>
  </si>
  <si>
    <t>Token olmadan və ya saxta tokenlə ödənişdə 401 qaytarılır</t>
  </si>
  <si>
    <t>1. POST {{baseUrl}}/bill-payments — Authorization header olmadan (Idempotency-Key var)
2. Eyni sorğunu saxta tokenlə göndər
3. Status kodlarını yoxla</t>
  </si>
  <si>
    <t>token yoxdur / saxta token: Bearer fake.token.123; Body: azersu 12345678 · 10, cardId vcd_zzzzzzzz</t>
  </si>
  <si>
    <t>TC_PAY_EDGE_038</t>
  </si>
  <si>
    <t>Token və Idempotency-Key olmadıqda 401 qaytarılır (400 IDEMPOTENCY_KEY_REQUIRED deyil)</t>
  </si>
  <si>
    <t>Decision Table (auth → açar)</t>
  </si>
  <si>
    <t>1. POST {{baseUrl}}/bill-payments — Authorization və Idempotency-Key header-ləri olmadan göndər
2. Status kodunu yoxla</t>
  </si>
  <si>
    <t>Body: azersu 12345678 · 10, cardId vcd_zzzzzzzz</t>
  </si>
  <si>
    <t>1. Status 401 — autentifikasiya açar yoxlamasından əvvəl gəlir.</t>
  </si>
  <si>
    <t>Status 401 — autentifikasiya açar yoxlamasından əvvəl gəlir. Gözlənilən nəticəyə uyğundur.</t>
  </si>
  <si>
    <t>TC_PAY_EDGE_039</t>
  </si>
  <si>
    <t>Idempotency-Key olmadıqda və body etibarsız JSON olduqda 400 IDEMPOTENCY_KEY_REQUIRED qaytarılır</t>
  </si>
  <si>
    <t>Decision Table (açar → JSON)</t>
  </si>
  <si>
    <t>1. Ön şərt: POST /auth/login (user1) — yeni, boş sandbox; token-i {{tok}}-a yaz
2. POST {{baseUrl}}/bill-payments — Idempotency-Key olmadan, body (raw) {"cardId": 
3. Status və code-u yoxla</t>
  </si>
  <si>
    <t>Body (raw): {"cardId": ; Idempotency-Key göndərilmir</t>
  </si>
  <si>
    <t>1. Status 400.
2. code = "IDEMPOTENCY_KEY_REQUIRED" — açar yoxlaması JSON yoxlamasından əvvəl gəlir.</t>
  </si>
  <si>
    <t>Status 400. code = "IDEMPOTENCY_KEY_REQUIRED" — açar yoxlaması JSON yoxlamasından əvvəl gəlir. Gözlənilən nəticəyə uyğundur.</t>
  </si>
  <si>
    <t>TC_PAY_EDGE_040</t>
  </si>
  <si>
    <t>Mövcud olmayan kart və aralıqdan kənar məbləğ birlikdə olduqda 422 AMOUNT_OUT_OF_RANGE qaytarılır (404 deyil)</t>
  </si>
  <si>
    <t>1. Ön şərt: POST /auth/login (user1) — yeni, boş sandbox; token-i {{tok}}-a yaz
2. Ön şərt: POST /cards, {"accountId": "acc_002", "initialAmount": 100} → 201; id-ni {{cardId}}-ə yaz
3. POST {{baseUrl}}/bill-payments göndər — Header-lər: Authorization: Bearer {{tok}}; Content-Type: application/json; Idempotency-Key: {{idemKey}} — yeni unikal açar; Body: {"cardId": "vcd_zzzzzzzz", "billerId": "azercell", "subscriberNo": "501234567", "amount": 0.49}
4. Status, code və details-i yoxla</t>
  </si>
  <si>
    <t>{"cardId": "vcd_zzzzzzzz", "billerId": "azercell", "subscriberNo": "501234567", "amount": 0.49}</t>
  </si>
  <si>
    <t>1. Ön şərt: 201.
2. Status 422.
3. code = "AMOUNT_OUT_OF_RANGE" — məbləğ yoxlaması CARD_NOT_FOUND-dan əvvəl gəlir.</t>
  </si>
  <si>
    <t>Ön şərt: 201. Status 422. code = "AMOUNT_OUT_OF_RANGE" — məbləğ yoxlaması CARD_NOT_FOUND-dan əvvəl gəlir. Gözlənilən nəticəyə uyğundur.</t>
  </si>
  <si>
    <t>TC_PAY_EDGE_041</t>
  </si>
  <si>
    <t>Dondurulmuş USD kartı ilə ödənişdə 422 CARD_NOT_ACTIVE qaytarılır (CURRENCY_NOT_SUPPORTED deyil)</t>
  </si>
  <si>
    <t>1. Ön şərt: POST /auth/login (user2) — yeni, boş sandbox; token-i {{tok}}-a yaz
2. Ön şərt: POST /cards, {"accountId": "acc_003", "initialAmount": 100} → 201; id-ni {{cardId}}-ə yaz
3. Ön şərt: POST /cards/{{cardId}}/block, {"reason": "TEMPORARY"} → 200
4. POST {{baseUrl}}/bill-payments göndər — Header-lər: Authorization: Bearer {{tok}}; Content-Type: application/json; Idempotency-Key: {{idemKey}} — yeni unikal açar; Body: {"cardId": "{{cardId}}", "billerId": "azersu", "subscriberNo": "12345678", "amount": 10}
5. Status və code-u yoxla</t>
  </si>
  <si>
    <t>user2 · USD kartı, FROZEN; Body: azersu 12345678 · 10</t>
  </si>
  <si>
    <t>1. Ön şərt: 201, 200.
2. Status 422.
3. code = "CARD_NOT_ACTIVE" — kart statusu valyutadan əvvəl yoxlanılır.</t>
  </si>
  <si>
    <t>Ön şərt: 201, 200. Status 422. code = "CARD_NOT_ACTIVE" — kart statusu valyutadan əvvəl yoxlanılır. Gözlənilən nəticəyə uyğundur.</t>
  </si>
  <si>
    <t>ORD, AC-14</t>
  </si>
  <si>
    <t>TC_PAY_BVA_042</t>
  </si>
  <si>
    <t>total 300.00 (maksimum) olan ödəniş qəbul edilir</t>
  </si>
  <si>
    <t>BVA · Limit</t>
  </si>
  <si>
    <t>Boundary Value Analysis (perTransaction = 300)</t>
  </si>
  <si>
    <t>1. Ön şərt: POST /auth/login (user1) — yeni, boş sandbox; token-i {{tok}}-a yaz
2. Ön şərt: POST /cards, {"accountId": "acc_002", "initialAmount": 1000} → 201; id-ni {{cardId}}-ə yaz
3. POST {{baseUrl}}/bill-payments göndər — Header-lər: Authorization: Bearer {{tok}}; Content-Type: application/json; Idempotency-Key: {{idemKey}} — yeni unikal açar; Body: {"cardId": "{{cardId}}", "billerId": "azerisiq", "subscriberNo": "1234567890", "amount": 300}
4. Status, code və cavab sahələrini yoxla</t>
  </si>
  <si>
    <t>Kart 1000 AZN; əsas ödəniş: azerisiq · 1234567890 · 300 AZN</t>
  </si>
  <si>
    <t>1. Ön şərt: 201.
2. Status 201; total = 300; balanceAfter = 700.</t>
  </si>
  <si>
    <t>Ön şərt: 201. Status 201; total = 300; balanceAfter = 700. Gözlənilən nəticəyə uyğundur.</t>
  </si>
  <si>
    <t>AC-11</t>
  </si>
  <si>
    <t>TC_PAY_BVA_043</t>
  </si>
  <si>
    <t>total 300.01 (maksimum + 0.01) olan ödənişdə 422 PER_TRANSACTION_LIMIT qaytarılır</t>
  </si>
  <si>
    <t>Boundary Value Analysis (300 + 0.01)</t>
  </si>
  <si>
    <t>1. Ön şərt: POST /auth/login (user1) — yeni, boş sandbox; token-i {{tok}}-a yaz
2. Ön şərt: POST /cards, {"accountId": "acc_002", "initialAmount": 1000} → 201; id-ni {{cardId}}-ə yaz
3. POST {{baseUrl}}/bill-payments göndər — Header-lər: Authorization: Bearer {{tok}}; Content-Type: application/json; Idempotency-Key: {{idemKey}} — yeni unikal açar; Body: {"cardId": "{{cardId}}", "billerId": "azerisiq", "subscriberNo": "1234567890", "amount": 300.01}
4. Status, code və cavab sahələrini yoxla</t>
  </si>
  <si>
    <t>Kart 1000 AZN; əsas ödəniş: azerisiq · 1234567890 · 300.01 AZN</t>
  </si>
  <si>
    <t>1. Ön şərt: 201.
2. Status 422.
3. code = "PER_TRANSACTION_LIMIT".</t>
  </si>
  <si>
    <t>Ön şərt: 201. Status 422. code = "PER_TRANSACTION_LIMIT". Gözlənilən nəticəyə uyğundur.</t>
  </si>
  <si>
    <t>TC_PAY_BVA_044</t>
  </si>
  <si>
    <t>Bu gün 500 AZN xərclənibsə, 1 AZN-lik ödənişdə 422 DAILY_LIMIT_EXCEEDED və "remaining": 0 qaytarılır</t>
  </si>
  <si>
    <t>Boundary Value Analysis (dailyOnline = 500)</t>
  </si>
  <si>
    <t>1. Ön şərt: POST /auth/login (user1) — yeni, boş sandbox; token-i {{tok}}-a yaz
2. Ön şərt: POST /cards, {"accountId": "acc_002", "initialAmount": 1000} → 201; id-ni {{cardId}}-ə yaz
3. Ön şərt: POST /bill-payments (yeni Idempotency-Key) — azerisiq · 1234567890 · 300 AZN → 201
4. Ön şərt: POST /bill-payments (yeni Idempotency-Key) — azerisiq · 1234567890 · 200 AZN → 201
5. POST {{baseUrl}}/bill-payments göndər — Header-lər: Authorization: Bearer {{tok}}; Content-Type: application/json; Idempotency-Key: {{idemKey}} — yeni unikal açar; Body: {"cardId": "{{cardId}}", "billerId": "azersu", "subscriberNo": "12345678", "amount": 1}
6. Status, code və cavab sahələrini yoxla</t>
  </si>
  <si>
    <t>Kart 1000 AZN; əvvəlki ödənişlər: azerisiq · 1234567890 · 300 AZN, azerisiq · 1234567890 · 200 AZN; əsas ödəniş: azersu · 12345678 · 1 AZN</t>
  </si>
  <si>
    <t>1. Ön şərt: 201, 201, 201 (spentToday = 500).
2. Status 422.
3. code = "DAILY_LIMIT_EXCEEDED"; remaining = 0.</t>
  </si>
  <si>
    <t>Ön şərt: 201, 201, 201 (spentToday = 500). Status 422. code = "DAILY_LIMIT_EXCEEDED"; remaining = 0. Gözlənilən nəticəyə uyğundur.</t>
  </si>
  <si>
    <t>AC-12</t>
  </si>
  <si>
    <t>TC_PAY_BVA_045</t>
  </si>
  <si>
    <t>Bu gün 499.50 AZN xərclənibsə, 0.50 AZN-lik ödəniş qəbul edilir (gündəlik cəmi tam 500)</t>
  </si>
  <si>
    <t>Boundary Value Analysis (spentToday + total = 500)</t>
  </si>
  <si>
    <t>1. Ön şərt: POST /auth/login (user1) — yeni, boş sandbox; token-i {{tok}}-a yaz
2. Ön şərt: POST /cards, {"accountId": "acc_002", "initialAmount": 1000} → 201; id-ni {{cardId}}-ə yaz
3. Ön şərt: POST /bill-payments (yeni Idempotency-Key) — azerisiq · 1234567890 · 300 AZN → 201
4. Ön şərt: POST /bill-payments (yeni Idempotency-Key) — azerisiq · 1234567890 · 199.5 AZN → 201
5. POST {{baseUrl}}/bill-payments göndər — Header-lər: Authorization: Bearer {{tok}}; Content-Type: application/json; Idempotency-Key: {{idemKey}} — yeni unikal açar; Body: {"cardId": "{{cardId}}", "billerId": "azercell", "subscriberNo": "501234567", "amount": 0.5}
6. Status, code və cavab sahələrini yoxla</t>
  </si>
  <si>
    <t>Kart 1000 AZN; əvvəlki ödənişlər: azerisiq · 1234567890 · 300 AZN, azerisiq · 1234567890 · 199.5 AZN; əsas ödəniş: azercell · 501234567 · 0.5 AZN</t>
  </si>
  <si>
    <t>1. Ön şərt: 201, 201, 201 (spentToday = 499.50).
2. Status 201 — 500-ə bərabər olmaq limiti aşmaq deyil.
3. balanceAfter = 500.</t>
  </si>
  <si>
    <t>Ön şərt: 201, 201, 201 (spentToday = 499.50). Status 201 — 500-ə bərabər olmaq limiti aşmaq deyil. balanceAfter = 500. Gözlənilən nəticəyə uyğundur.</t>
  </si>
  <si>
    <t>TC_PAY_EDGE_046</t>
  </si>
  <si>
    <t>Gündəlik limit total üzrə yoxlanılır: 495 xərclənib, CityNet 5 AZN (total 5.20) ödənişində 422 DAILY_LIMIT_EXCEEDED, remaining 5</t>
  </si>
  <si>
    <t>Edge Case · Limit</t>
  </si>
  <si>
    <t>Decision Table (amount üzrə keçir, total üzrə keçmir)</t>
  </si>
  <si>
    <t>1. Ön şərt: POST /auth/login (user1) — yeni, boş sandbox; token-i {{tok}}-a yaz
2. Ön şərt: POST /cards, {"accountId": "acc_002", "initialAmount": 1000} → 201; id-ni {{cardId}}-ə yaz
3. Ön şərt: POST /bill-payments (yeni Idempotency-Key) — azerisiq · 1234567890 · 300 AZN → 201
4. Ön şərt: POST /bill-payments (yeni Idempotency-Key) — azerisiq · 1234567890 · 195 AZN → 201
5. POST {{baseUrl}}/bill-payments göndər — Header-lər: Authorization: Bearer {{tok}}; Content-Type: application/json; Idempotency-Key: {{idemKey}} — yeni unikal açar; Body: {"cardId": "{{cardId}}", "billerId": "citynet", "subscriberNo": "CN123456", "amount": 5}
6. Status, code və cavab sahələrini yoxla</t>
  </si>
  <si>
    <t>Kart 1000 AZN; əvvəlki ödənişlər: azerisiq · 1234567890 · 300 AZN, azerisiq · 1234567890 · 195 AZN; əsas ödəniş: citynet · CN123456 · 5 AZN</t>
  </si>
  <si>
    <t>1. Ön şərt: 201, 201, 201 (spentToday = 495).
2. Status 422; code = "DAILY_LIMIT_EXCEEDED"; remaining = 5.
(495 + 5 = 500 keçərdi, amma 495 + 5.20 = 500.20 &gt; 500 — limit total üzrədir.)</t>
  </si>
  <si>
    <t>Ön şərt: 201, 201, 201 (spentToday = 495). Status 422; code = "DAILY_LIMIT_EXCEEDED"; remaining = 5. Gözlənilən nəticəyə uyğundur.</t>
  </si>
  <si>
    <t>NOTE, AC-12</t>
  </si>
  <si>
    <t>TC_PAY_BVA_047</t>
  </si>
  <si>
    <t>Balans 49.50 olduqda 49.51 AZN ödənişdə 422 INSUFFICIENT_FUNDS qaytarılır</t>
  </si>
  <si>
    <t>BVA · Balans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</si>
  <si>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citynet · CN123456 · 50 AZN → 201
4. POST {{baseUrl}}/bill-payments göndər — Header-lər: Authorization: Bearer {{tok}}; Content-Type: application/json; Idempotency-Key: {{idemKey}} — yeni unikal açar; Body: {"cardId": "{{cardId}}", "billerId": "azersu", "subscriberNo": "12345678", "amount": 49.51}
5. Status, code və cavab sahələrini yoxla</t>
  </si>
  <si>
    <t>Kart 100 AZN; əvvəlki ödənişlər: citynet · CN123456 · 50 AZN; əsas ödəniş: azersu · 12345678 · 49.51 AZN</t>
  </si>
  <si>
    <t>1. Ön şərt: 201, 201 (balans 100 − 50.50 = 49.50).
2. Status 422.
3. code = "INSUFFICIENT_FUNDS".</t>
  </si>
  <si>
    <t>Ön şərt: 201, 201 (balans 100 − 50.50 = 49.50). Status 422. code = "INSUFFICIENT_FUNDS". Gözlənilən nəticəyə uyğundur.</t>
  </si>
  <si>
    <t>AC-13</t>
  </si>
  <si>
    <t>TC_PAY_BVA_048</t>
  </si>
  <si>
    <t>Balans 49.50 olduqda 49.50 AZN ödəniş qəbul edilir və balanceAfter 0 olur</t>
  </si>
  <si>
    <t>1. Ön şərt: POST /auth/login (user1) — yeni, boş sandbox; token-i {{tok}}-a yaz
2. Ön şərt: POST /cards, {"accountId": "acc_002", "initialAmount": 100} → 201; id-ni {{cardId}}-ə yaz
3. Ön şərt: POST /bill-payments (yeni Idempotency-Key) — citynet · CN123456 · 50 AZN → 201
4. POST {{baseUrl}}/bill-payments göndər — Header-lər: Authorization: Bearer {{tok}}; Content-Type: application/json; Idempotency-Key: {{idemKey}} — yeni unikal açar; Body: {"cardId": "{{cardId}}", "billerId": "azersu", "subscriberNo": "12345678", "amount": 49.5}
5. Status, code və cavab sahələrini yoxla</t>
  </si>
  <si>
    <t>Kart 100 AZN; əvvəlki ödənişlər: citynet · CN123456 · 50 AZN; əsas ödəniş: azersu · 12345678 · 49.5 AZN</t>
  </si>
  <si>
    <t>1. Ön şərt: 201, 201 (balans 49.50).
2. Status 201.
3. total = 49.5; balanceAfter = 0.</t>
  </si>
  <si>
    <t>Ön şərt: 201, 201 (balans 49.50). Status 201. total = 49.5; balanceAfter = 0. Gözlənilən nəticəyə uyğundur.</t>
  </si>
  <si>
    <t>TC_PAY_EDGE_049</t>
  </si>
  <si>
    <t>Balans total üzrə yoxlanılır: kartda 5.10 AZN var, CityNet 5 AZN (total 5.20) ödənişində 422 INSUFFICIENT_FUNDS</t>
  </si>
  <si>
    <t>Edge Case · Balans</t>
  </si>
  <si>
    <t>1. Ön şərt: POST /auth/login (user1) — yeni, boş sandbox; token-i {{tok}}-a yaz
2. Ön şərt: POST /cards, {"accountId": "acc_002", "initialAmount": 5.1} → 201; id-ni {{cardId}}-ə yaz
3. POST {{baseUrl}}/bill-payments göndər — Header-lər: Authorization: Bearer {{tok}}; Content-Type: application/json; Idempotency-Key: {{idemKey}} — yeni unikal açar; Body: {"cardId": "{{cardId}}", "billerId": "citynet", "subscriberNo": "CN123456", "amount": 5}
4. Status, code və cavab sahələrini yoxla</t>
  </si>
  <si>
    <t>Kart 5.1 AZN; əsas ödəniş: citynet · CN123456 · 5 AZN</t>
  </si>
  <si>
    <t>1. Ön şərt: 201 (kart 5.10).
2. Status 422; code = "INSUFFICIENT_FUNDS" — amount 5 ≤ 5.10, amma total 5.20 &gt; 5.10.</t>
  </si>
  <si>
    <t>Ön şərt: 201 (kart 5.10). Status 422; code = "INSUFFICIENT_FUNDS" — amount 5 ≤ 5.10, amma total 5.20 &gt; 5.10. Gözlənilən nəticəyə uyğundur.</t>
  </si>
  <si>
    <t>NOTE, AC-13</t>
  </si>
  <si>
    <t>TC_PAY_EDGE_050</t>
  </si>
  <si>
    <t>Balans 10 olan kartla 300.01 AZN ödənişdə 422 PER_TRANSACTION_LIMIT qaytarılır (INSUFFICIENT_FUNDS deyil)</t>
  </si>
  <si>
    <t>1. Ön şərt: POST /auth/login (user1) — yeni, boş sandbox; token-i {{tok}}-a yaz
2. Ön şərt: POST /cards, {"accountId": "acc_002", "initialAmount": 10} → 201; id-ni {{cardId}}-ə yaz
3. POST {{baseUrl}}/bill-payments göndər — Header-lər: Authorization: Bearer {{tok}}; Content-Type: application/json; Idempotency-Key: {{idemKey}} — yeni unikal açar; Body: {"cardId": "{{cardId}}", "billerId": "azerisiq", "subscriberNo": "1234567890", "amount": 300.01}
4. Status, code və cavab sahələrini yoxla</t>
  </si>
  <si>
    <t>Kart 10 AZN; əsas ödəniş: azerisiq · 1234567890 · 300.01 AZN</t>
  </si>
  <si>
    <t>1. Ön şərt: 201 (kart 10).
2. Status 422; code = "PER_TRANSACTION_LIMIT" — əməliyyat limiti balansdan əvvəl yoxlanılır.</t>
  </si>
  <si>
    <t>Ön şərt: 201 (kart 10). Status 422; code = "PER_TRANSACTION_LIMIT" — əməliyyat limiti balansdan əvvəl yoxlanılır. Gözlənilən nəticəyə uyğundur.</t>
  </si>
  <si>
    <t>ORD, AC-11</t>
  </si>
  <si>
    <t>TC_PAY_POS_051</t>
  </si>
  <si>
    <t>Parametrsiz sorğuda 200: page 1, limit 10, total 18, totalPages 2 və ən yeni ödəniş (000018) birinci</t>
  </si>
  <si>
    <t>Equivalence Partitioning (default dəyərlər)</t>
  </si>
  <si>
    <t>P0: CallMan-da 'Bank API' environment seçilib; ssenarinin 'Hazırlıq — Dataset P' sorğusu icra olunub (yeni sandbox, {{tok}}, {{cardA}}, {{cardB}}, {{today}}) — ssenari daxilində case-lər ardıcıl işlədilir</t>
  </si>
  <si>
    <t>1. GET {{baseUrl}}/bill-payments göndər (Authorization: Bearer {{tok}})
2. Status, page, limit, total, totalPages və items-ı yoxla</t>
  </si>
  <si>
    <t>Query parametri yoxdur
Dataset P (Hazırlıq sorğusu, yaradılma sırası ilə 18 ödəniş): kart A (200 AZN) — 10 × Azərsu 1 AZN, sonra 6 × CityNet 5 AZN (fee 0.20); kart B (50 AZN) — 2 × Aztelekom 2 AZN (fee 0.50). Qəbzlər 000001 … 000018</t>
  </si>
  <si>
    <t>1. Status 200 OK.
2. page = 1; limit = 10; total = 18; totalPages = 2; items-da 10 element.
3. Birinci element receiptNo …-000018 (ən yeni); sıra receiptNo və createdAt üzrə azalandır.</t>
  </si>
  <si>
    <t>Status 200 OK. page = 1; limit = 10; total = 18; totalPages = 2; items-da 10 element. Birinci element receiptNo …-000018 (ən yeni); sıra receiptNo və createdAt üzrə azalandır. Gözlənilən nəticəyə uyğundur.</t>
  </si>
  <si>
    <t>AC-1, DSC</t>
  </si>
  <si>
    <t>specs/bank-api/epic3_grad303_get_bill_payments.spec</t>
  </si>
  <si>
    <t>TC_PAY_POS_052</t>
  </si>
  <si>
    <t>page=2 olduqda qalan 8 ödəniş (000008 … 000001) qaytarılır və 1-ci səhifə ilə təkrarlanmır</t>
  </si>
  <si>
    <t>Boundary Value Analysis (son səhifə)</t>
  </si>
  <si>
    <t>1. GET {{baseUrl}}/bill-payments?page=2 göndər (Authorization: Bearer {{tok}})
2. Status, page, limit, total, totalPages və items-ı yoxla</t>
  </si>
  <si>
    <t>Query: ?page=2
Dataset P (Hazırlıq sorğusu, yaradılma sırası ilə 18 ödəniş): kart A (200 AZN) — 10 × Azərsu 1 AZN, sonra 6 × CityNet 5 AZN (fee 0.20); kart B (50 AZN) — 2 × Aztelekom 2 AZN (fee 0.50). Qəbzlər 000001 … 000018</t>
  </si>
  <si>
    <t>1. Status 200 OK.
2. page = 2; total = 18; totalPages = 2; items-da 8 element.
3. Sonuncu element …-000001; 1-ci səhifənin (əvvəlki case) id-lərindən heç biri təkrarlanmır.</t>
  </si>
  <si>
    <t>Status 200 OK. page = 2; total = 18; totalPages = 2; items-da 8 element. Sonuncu element …-000001; 1-ci səhifənin (əvvəlki case) id-lərindən heç biri təkrarlanmır. Gözlənilən nəticəyə uyğundur.</t>
  </si>
  <si>
    <t>TC_PAY_POS_053</t>
  </si>
  <si>
    <t>Mövcud olmayan səhifə (page=3) istədikdə 200 və boş items qaytarılır</t>
  </si>
  <si>
    <t>Boundary Value Analysis (totalPages + 1)</t>
  </si>
  <si>
    <t>1. GET {{baseUrl}}/bill-payments?page=3 göndər (Authorization: Bearer {{tok}})
2. Status, page, limit, total, totalPages və items-ı yoxla</t>
  </si>
  <si>
    <t>Query: ?page=3
Dataset P (Hazırlıq sorğusu, yaradılma sırası ilə 18 ödəniş): kart A (200 AZN) — 10 × Azərsu 1 AZN, sonra 6 × CityNet 5 AZN (fee 0.20); kart B (50 AZN) — 2 × Aztelekom 2 AZN (fee 0.50). Qəbzlər 000001 … 000018</t>
  </si>
  <si>
    <t>1. Status 200 OK (xəta yox).
2. items = []; total = 18; totalPages = 2.</t>
  </si>
  <si>
    <t>Status 200 OK (xəta yox). items = []; total = 18; totalPages = 2. Gözlənilən nəticəyə uyğundur.</t>
  </si>
  <si>
    <t>AC-3, DSC</t>
  </si>
  <si>
    <t>TC_PAY_BVA_054</t>
  </si>
  <si>
    <t>limit=1 (min) və limit=50 (max) qəbul edilir: 1 → 18 səhifə, 50 → bütün 18 ödəniş bir səhifədə</t>
  </si>
  <si>
    <t>Boundary Value Analysis (min = 1, max = 50)</t>
  </si>
  <si>
    <t>1. GET {{baseUrl}}/bill-payments?limit=1 göndər (Authorization: Bearer {{tok}})
2. GET {{baseUrl}}/bill-payments?limit=50 göndər (Authorization: Bearer {{tok}})
3. Status, page, limit, total, totalPages və items-ı yoxla</t>
  </si>
  <si>
    <t>limit=1: Query: ?limit=1
limit=50: Query: ?limit=50
Dataset P (Hazırlıq sorğusu, yaradılma sırası ilə 18 ödəniş): kart A (200 AZN) — 10 × Azərsu 1 AZN, sonra 6 × CityNet 5 AZN (fee 0.20); kart B (50 AZN) — 2 × Aztelekom 2 AZN (fee 0.50). Qəbzlər 000001 … 000018</t>
  </si>
  <si>
    <t>1. Hər iki sorğuda 200 OK.
2. limit=1 → items 1 element, totalPages 18.
3. limit=50 → items 18 element, totalPages 1.</t>
  </si>
  <si>
    <t>Hər iki sorğuda 200 OK. limit=1 → items 1 element, totalPages 18. limit=50 → items 18 element, totalPages 1. Gözlənilən nəticəyə uyğundur.</t>
  </si>
  <si>
    <t>TC_PAY_BVA_055</t>
  </si>
  <si>
    <t>limit=0 (min − 1) və limit=51 (max + 1) olduqda 400 VALIDATION_ERROR qaytarılır</t>
  </si>
  <si>
    <t>Boundary Value Analysis (0, 51)</t>
  </si>
  <si>
    <t>1. GET {{baseUrl}}/bill-payments?limit=0 göndər (Authorization: Bearer {{tok}})
2. GET {{baseUrl}}/bill-payments?limit=51 göndər (Authorization: Bearer {{tok}})
3. Status, page, limit, total, totalPages və items-ı yoxla</t>
  </si>
  <si>
    <t>limit=0: Query: ?limit=0
limit=51: Query: ?limit=51
Dataset P (Hazırlıq sorğusu, yaradılma sırası ilə 18 ödəniş): kart A (200 AZN) — 10 × Azərsu 1 AZN, sonra 6 × CityNet 5 AZN (fee 0.20); kart B (50 AZN) — 2 × Aztelekom 2 AZN (fee 0.50). Qəbzlər 000001 … 000018</t>
  </si>
  <si>
    <t>1. Hər iki sorğuda status 400.
2. code = "VALIDATION_ERROR"; details-də field = "limit".</t>
  </si>
  <si>
    <t>Hər iki sorğuda status 400. code = "VALIDATION_ERROR"; details-də field = "limit". Gözlənilən nəticəyə uyğundur.</t>
  </si>
  <si>
    <t>AC-4, ERR</t>
  </si>
  <si>
    <t>TC_PAY_NEG_056</t>
  </si>
  <si>
    <t>page=0, page=-1 və page=abc olduqda 400 VALIDATION_ERROR qaytarılır</t>
  </si>
  <si>
    <t>Equivalence Partitioning (≤ 0, mətn)</t>
  </si>
  <si>
    <t>1. GET {{baseUrl}}/bill-payments?page=0 göndər (Authorization: Bearer {{tok}})
2. GET {{baseUrl}}/bill-payments?page=-1 göndər (Authorization: Bearer {{tok}})
3. GET {{baseUrl}}/bill-payments?page=abc göndər (Authorization: Bearer {{tok}})
4. Status, page, limit, total, totalPages və items-ı yoxla</t>
  </si>
  <si>
    <t>page=0: Query: ?page=0
page=-1: Query: ?page=-1
page=abc: Query: ?page=abc
Dataset P (Hazırlıq sorğusu, yaradılma sırası ilə 18 ödəniş): kart A (200 AZN) — 10 × Azərsu 1 AZN, sonra 6 × CityNet 5 AZN (fee 0.20); kart B (50 AZN) — 2 × Aztelekom 2 AZN (fee 0.50). Qəbzlər 000001 … 000018</t>
  </si>
  <si>
    <t>1. Hər üç sorğuda status 400.
2. code = "VALIDATION_ERROR"; details-də field = "page".</t>
  </si>
  <si>
    <t>Hər üç sorğuda status 400. code = "VALIDATION_ERROR"; details-də field = "page". Gözlənilən nəticəyə uyğundur.</t>
  </si>
  <si>
    <t>TC_PAY_POS_057</t>
  </si>
  <si>
    <t>Hər tarixçə elementində sənəddəki sahələr var, status SUCCESS və total = amount + fee</t>
  </si>
  <si>
    <t>1. GET {{baseUrl}}/bill-payments?limit=50 göndər (Authorization: Bearer {{tok}})
2. Status, page, limit, total, totalPages və items-ı yoxla</t>
  </si>
  <si>
    <t>Query: ?limit=50
Dataset P (Hazırlıq sorğusu, yaradılma sırası ilə 18 ödəniş): kart A (200 AZN) — 10 × Azərsu 1 AZN, sonra 6 × CityNet 5 AZN (fee 0.20); kart B (50 AZN) — 2 × Aztelekom 2 AZN (fee 0.50). Qəbzlər 000001 … 000018</t>
  </si>
  <si>
    <t>1. Status 200 OK.
2. Hər elementdə id, receiptNo, billerId, subscriberNo, amount, fee, total, status, createdAt var.
3. status = "SUCCESS"; total = amount + fee (Azərsu 1 + 0, CityNet 5 + 0.20, Aztelekom 2 + 0.50).</t>
  </si>
  <si>
    <t>Status 200 OK. Hər elementdə id, receiptNo, billerId, subscriberNo, amount, fee, total, status, createdAt var. status = "SUCCESS"; total = amount + fee (Azərsu 1 + 0, CityNet 5 + 0.20, Aztelekom 2 + 0.50). Gözlənilən nəticəyə uyğundur.</t>
  </si>
  <si>
    <t>DSC, PAR</t>
  </si>
  <si>
    <t>TC_PAY_EDGE_058</t>
  </si>
  <si>
    <t>user2 öz tarixçəsini istədikdə user1-in ödənişləri görünmür</t>
  </si>
  <si>
    <t>1. Ön şərt: POST /auth/login (user2) — token-i {{token_user2}}-yə yaz
2. GET {{baseUrl}}/bill-payments göndər (user2 tokeni ilə ({{token_user2}}))
3. Status, page, limit, total, totalPages və items-ı yoxla</t>
  </si>
  <si>
    <t>1. Status 200 OK.
2. total = 0; items = [] — user1-in 18 ödənişindən heç biri qaytarılmır.</t>
  </si>
  <si>
    <t>Status 200 OK. total = 0; items = [] — user1-in 18 ödənişindən heç biri qaytarılmır. Gözlənilən nəticəyə uyğundur.</t>
  </si>
  <si>
    <t>TC_PAY_NEG_059</t>
  </si>
  <si>
    <t>Token olmadan və ya saxta tokenlə tarixçə istədikdə 401 qaytarılır</t>
  </si>
  <si>
    <t>1. GET {{baseUrl}}/bill-payments göndər (Authorization header olmadan)
2. GET {{baseUrl}}/bill-payments göndər (saxta tokenlə)
3. Status, page, limit, total, totalPages və items-ı yoxla</t>
  </si>
  <si>
    <t>token yoxdur: Query parametri yoxdur
saxta token: Query parametri yoxdur
Dataset P (Hazırlıq sorğusu, yaradılma sırası ilə 18 ödəniş): kart A (200 AZN) — 10 × Azərsu 1 AZN, sonra 6 × CityNet 5 AZN (fee 0.20); kart B (50 AZN) — 2 × Aztelekom 2 AZN (fee 0.50). Qəbzlər 000001 … 000018</t>
  </si>
  <si>
    <t>TC_PAY_POS_060</t>
  </si>
  <si>
    <t>billerId=citynet olduqda yalnız 6 CityNet ödənişi qaytarılır və total 6 olur</t>
  </si>
  <si>
    <t>Equivalence Partitioning (təchizatçı filtri)</t>
  </si>
  <si>
    <t>1. GET {{baseUrl}}/bill-payments?billerId=citynet göndər (Authorization: Bearer {{tok}})
2. Status, page, limit, total, totalPages və items-ı yoxla</t>
  </si>
  <si>
    <t>Query: ?billerId=citynet
Dataset P (Hazırlıq sorğusu, yaradılma sırası ilə 18 ödəniş): kart A (200 AZN) — 10 × Azərsu 1 AZN, sonra 6 × CityNet 5 AZN (fee 0.20); kart B (50 AZN) — 2 × Aztelekom 2 AZN (fee 0.50). Qəbzlər 000001 … 000018</t>
  </si>
  <si>
    <t>1. Status 200 OK.
2. total = 6; totalPages = 1; items-da 6 element.
3. Bütün elementlərdə billerId = "citynet".</t>
  </si>
  <si>
    <t>Status 200 OK. total = 6; totalPages = 1; items-da 6 element. Bütün elementlərdə billerId = "citynet". Gözlənilən nəticəyə uyğundur.</t>
  </si>
  <si>
    <t>TC_PAY_POS_061</t>
  </si>
  <si>
    <t>billerId=citynet&amp;limit=5 olduqda total 6 (filtrdən sonrakı ümumi say), səhifədə 5 element, totalPages 2</t>
  </si>
  <si>
    <t>Decision Table (filtr × səhifələmə)</t>
  </si>
  <si>
    <t>1. GET {{baseUrl}}/bill-payments?billerId=citynet&amp;limit=5 göndər (Authorization: Bearer {{tok}})
2. Status, page, limit, total, totalPages və items-ı yoxla</t>
  </si>
  <si>
    <t>Query: ?billerId=citynet&amp;limit=5
Dataset P (Hazırlıq sorğusu, yaradılma sırası ilə 18 ödəniş): kart A (200 AZN) — 10 × Azərsu 1 AZN, sonra 6 × CityNet 5 AZN (fee 0.20); kart B (50 AZN) — 2 × Aztelekom 2 AZN (fee 0.50). Qəbzlər 000001 … 000018</t>
  </si>
  <si>
    <t>1. Status 200 OK.
2. total = 6 (səhifədəki 5 deyil); totalPages = 2; items-da 5 element, hamısı citynet.</t>
  </si>
  <si>
    <t>Status 200 OK. total = 6 (səhifədəki 5 deyil); totalPages = 2; items-da 5 element, hamısı citynet. Gözlənilən nəticəyə uyğundur.</t>
  </si>
  <si>
    <t>NOTE, AC-8</t>
  </si>
  <si>
    <t>TC_PAY_POS_062</t>
  </si>
  <si>
    <t>cardId={{cardB}} olduqda yalnız B kartının 2 ödənişi (Aztelekom) qaytarılır</t>
  </si>
  <si>
    <t>Equivalence Partitioning (kart filtri)</t>
  </si>
  <si>
    <t>1. GET {{baseUrl}}/bill-payments?cardId={{cardB}} göndər (Authorization: Bearer {{tok}})
2. Status, page, limit, total, totalPages və items-ı yoxla</t>
  </si>
  <si>
    <t>Query: ?cardId={{cardB}}
Dataset P (Hazırlıq sorğusu, yaradılma sırası ilə 18 ödəniş): kart A (200 AZN) — 10 × Azərsu 1 AZN, sonra 6 × CityNet 5 AZN (fee 0.20); kart B (50 AZN) — 2 × Aztelekom 2 AZN (fee 0.50). Qəbzlər 000001 … 000018</t>
  </si>
  <si>
    <t>1. Status 200 OK.
2. total = 2; items: 2 Aztelekom ödənişi (B kartı ilə edilənlər).</t>
  </si>
  <si>
    <t>Status 200 OK. total = 2; items: 2 Aztelekom ödənişi (B kartı ilə edilənlər). Gözlənilən nəticəyə uyğundur.</t>
  </si>
  <si>
    <t>TC_PAY_POS_063</t>
  </si>
  <si>
    <t>from = to = bu gün (Bakı vaxtı) olduqda bu günün bütün 18 ödənişi qaytarılır</t>
  </si>
  <si>
    <t>Boundary Value Analysis (from = to, daxil olmaqla)</t>
  </si>
  <si>
    <t>1. GET {{baseUrl}}/bill-payments?from={{today}}&amp;to={{today}}&amp;limit=50 göndər (Authorization: Bearer {{tok}})
2. Status, page, limit, total, totalPages və items-ı yoxla</t>
  </si>
  <si>
    <t>Query: ?from={{today}}&amp;to={{today}}&amp;limit=50
Dataset P (Hazırlıq sorğusu, yaradılma sırası ilə 18 ödəniş): kart A (200 AZN) — 10 × Azərsu 1 AZN, sonra 6 × CityNet 5 AZN (fee 0.20); kart B (50 AZN) — 2 × Aztelekom 2 AZN (fee 0.50). Qəbzlər 000001 … 000018</t>
  </si>
  <si>
    <t>1. Status 200 OK.
2. total = 18 — eyni günün həm başlanğıcı, həm sonu daxildir.</t>
  </si>
  <si>
    <t>Status 200 OK. total = 18 — eyni günün həm başlanğıcı, həm sonu daxildir. Gözlənilən nəticəyə uyğundur.</t>
  </si>
  <si>
    <t>AC-7, DSC</t>
  </si>
  <si>
    <t>TC_PAY_EDGE_064</t>
  </si>
  <si>
    <t>from = sabah və ya to = dünən olduqda bu günün ödənişləri qaytarılmır (total 0)</t>
  </si>
  <si>
    <t>Boundary Value Analysis (bu gün ± 1)</t>
  </si>
  <si>
    <t>1. GET {{baseUrl}}/bill-payments?from={{tomorrow}} göndər (Authorization: Bearer {{tok}})
2. GET {{baseUrl}}/bill-payments?to={{yesterday}} göndər (Authorization: Bearer {{tok}})
3. Status, page, limit, total, totalPages və items-ı yoxla</t>
  </si>
  <si>
    <t>from = sabah: Query: ?from={{tomorrow}}
to = dünən: Query: ?to={{yesterday}}
Dataset P (Hazırlıq sorğusu, yaradılma sırası ilə 18 ödəniş): kart A (200 AZN) — 10 × Azərsu 1 AZN, sonra 6 × CityNet 5 AZN (fee 0.20); kart B (50 AZN) — 2 × Aztelekom 2 AZN (fee 0.50). Qəbzlər 000001 … 000018</t>
  </si>
  <si>
    <t>1. Hər iki sorğuda 200 OK.
2. total = 0; items = [] — bütün ödənişlər bu gün (Bakı vaxtı) edilib.</t>
  </si>
  <si>
    <t>Hər iki sorğuda 200 OK. total = 0; items = [] — bütün ödənişlər bu gün (Bakı vaxtı) edilib. Gözlənilən nəticəyə uyğundur.</t>
  </si>
  <si>
    <t>TC_PAY_NEG_065</t>
  </si>
  <si>
    <t>Mövcud olmayan ay ilə tarix (from=2026-13-01) göndərildikdə 400 VALIDATION_ERROR qaytarılır</t>
  </si>
  <si>
    <t>Equivalence Partitioning (mövcud olmayan tarix)</t>
  </si>
  <si>
    <t>1. GET {{baseUrl}}/bill-payments?from=2026-13-01 göndər (Authorization: Bearer {{tok}})
2. Status, page, limit, total, totalPages və items-ı yoxla</t>
  </si>
  <si>
    <t>Query: ?from=2026-13-01
Dataset P (Hazırlıq sorğusu, yaradılma sırası ilə 18 ödəniş): kart A (200 AZN) — 10 × Azərsu 1 AZN, sonra 6 × CityNet 5 AZN (fee 0.20); kart B (50 AZN) — 2 × Aztelekom 2 AZN (fee 0.50). Qəbzlər 000001 … 000018</t>
  </si>
  <si>
    <t>1. Status 400.
2. code = "VALIDATION_ERROR".</t>
  </si>
  <si>
    <t>TC_PAY_EDGE_066</t>
  </si>
  <si>
    <t>Mövcud olmayan gün (from=2026-02-30) göndərildikdə 400 VALIDATION_ERROR qaytarılır</t>
  </si>
  <si>
    <t>Boundary Value Analysis (ayın son günü + 1)</t>
  </si>
  <si>
    <t>1. GET {{baseUrl}}/bill-payments?from=2026-02-30 göndər (Authorization: Bearer {{tok}})
2. Status, page, limit, total, totalPages və items-ı yoxla</t>
  </si>
  <si>
    <t>Query: ?from=2026-02-30
Dataset P (Hazırlıq sorğusu, yaradılma sırası ilə 18 ödəniş): kart A (200 AZN) — 10 × Azərsu 1 AZN, sonra 6 × CityNet 5 AZN (fee 0.20); kart B (50 AZN) — 2 × Aztelekom 2 AZN (fee 0.50). Qəbzlər 000001 … 000018</t>
  </si>
  <si>
    <t>1. Status 400.
2. code = "VALIDATION_ERROR" — format düzgündür (YYYY-MM-DD), amma 30 fevral mövcud deyil; tarix 2 mart kimi qəbul edilməməlidir.</t>
  </si>
  <si>
    <t>Status 400. code = "VALIDATION_ERROR" — format düzgündür (YYYY-MM-DD), amma 30 fevral mövcud deyil; tarix 2 mart kimi qəbul edilməməlidir. Gözlənilən nəticəyə uyğundur.</t>
  </si>
  <si>
    <t>TC_PAY_NEG_067</t>
  </si>
  <si>
    <t>from &gt; to (from = bu gün, to = dünən) olduqda 400 VALIDATION_ERROR qaytarılır</t>
  </si>
  <si>
    <t>Boundary Value Analysis (to = from − 1)</t>
  </si>
  <si>
    <t>1. GET {{baseUrl}}/bill-payments?from={{today}}&amp;to={{yesterday}} göndər (Authorization: Bearer {{tok}})
2. Status, page, limit, total, totalPages və items-ı yoxla</t>
  </si>
  <si>
    <t>Query: ?from={{today}}&amp;to={{yesterday}}
Dataset P (Hazırlıq sorğusu, yaradılma sırası ilə 18 ödəniş): kart A (200 AZN) — 10 × Azərsu 1 AZN, sonra 6 × CityNet 5 AZN (fee 0.20); kart B (50 AZN) — 2 × Aztelekom 2 AZN (fee 0.50). Qəbzlər 000001 … 000018</t>
  </si>
  <si>
    <t>TC_PAY_NEG_068</t>
  </si>
  <si>
    <t>Tarix YYYY-MM-DD formatında olmadıqda (from=11.10.2026) 400 VALIDATION_ERROR qaytarılır</t>
  </si>
  <si>
    <t>1. GET {{baseUrl}}/bill-payments?from=11.10.2026 göndər (Authorization: Bearer {{tok}})
2. Status, page, limit, total, totalPages və items-ı yoxla</t>
  </si>
  <si>
    <t>Query: ?from=11.10.2026
Dataset P (Hazırlıq sorğusu, yaradılma sırası ilə 18 ödəniş): kart A (200 AZN) — 10 × Azərsu 1 AZN, sonra 6 × CityNet 5 AZN (fee 0.20); kart B (50 AZN) — 2 × Aztelekom 2 AZN (fee 0.50). Qəbzlər 000001 … 000018</t>
  </si>
  <si>
    <t>TC_PAY_POS_069</t>
  </si>
  <si>
    <t>billerId, cardId və tarix filtrləri birlikdə olduqda yalnız bütün şərtlərə uyğun ödənişlər qaytarılır (AND)</t>
  </si>
  <si>
    <t>Decision Table (filtrlərin birləşməsi)</t>
  </si>
  <si>
    <t>1. GET {{baseUrl}}/bill-payments?billerId=citynet&amp;cardId={{cardA}}&amp;from={{today}}&amp;to={{today}} göndər (Authorization: Bearer {{tok}})
2. GET {{baseUrl}}/bill-payments?billerId=citynet&amp;cardId={{cardB}} göndər (Authorization: Bearer {{tok}})
3. Status, page, limit, total, totalPages və items-ı yoxla</t>
  </si>
  <si>
    <t>citynet + kart A + bu gün: Query: ?billerId=citynet&amp;cardId={{cardA}}&amp;from={{today}}&amp;to={{today}}
citynet + kart B: Query: ?billerId=citynet&amp;cardId={{cardB}}
Dataset P (Hazırlıq sorğusu, yaradılma sırası ilə 18 ödəniş): kart A (200 AZN) — 10 × Azərsu 1 AZN, sonra 6 × CityNet 5 AZN (fee 0.20); kart B (50 AZN) — 2 × Aztelekom 2 AZN (fee 0.50). Qəbzlər 000001 … 000018</t>
  </si>
  <si>
    <t>1. Hər iki sorğuda 200 OK.
2. citynet + kart A + bu gün → total 6, hamısı citynet.
3. citynet + kart B → total 0 (B kartı ilə CityNet ödənişi yoxdur).</t>
  </si>
  <si>
    <t>Hər iki sorğuda 200 OK. citynet + kart A + bu gün → total 6, hamısı citynet. citynet + kart B → total 0 (B kartı ilə CityNet ödənişi yoxdur). Gözlənilən nəticəyə uyğundur.</t>
  </si>
  <si>
    <t>AC-8, AC-7, PAR</t>
  </si>
  <si>
    <t>RTM — Bank API (api.anarabbas.com)</t>
  </si>
  <si>
    <t>Etibarlı sorğu → 201; id (ben_ + 8 simvol), iban, ibanMasked</t>
  </si>
  <si>
    <t>IBAN boşluqlu və kiçik hərflə göndərilir → cavabdakı iban bo</t>
  </si>
  <si>
    <t>nickname göndərilmir → "nickname": null</t>
  </si>
  <si>
    <t>Bir neçə sahə eyni anda səhv → 400 VALIDATION_ERROR; details</t>
  </si>
  <si>
    <t>fullName 1 və ya 51 simvol → 400; 2 və 50 simvol qəbul olunu</t>
  </si>
  <si>
    <t>fullName "---" və ya "Ali2" → 400 VALIDATION_ERROR</t>
  </si>
  <si>
    <t>Eyni IBAN ikinci dəfə → 409 BENEFICIARY_EXISTS</t>
  </si>
  <si>
    <t>"anam" ləqəbi var, "ANAM" göndərilir → 409 NICKNAME_TAKEN</t>
  </si>
  <si>
    <t>user1 öz IBAN-ını göndərir → 422 OWN_ACCOUNT</t>
  </si>
  <si>
    <t>Siyahıda 10 alıcı var, 11-ci → 422 LIMIT_REACHED, "limit": 1</t>
  </si>
  <si>
    <t xml:space="preserve">Parametr qaydaları: fullName, iban, currency (AZN|USD|EUR), </t>
  </si>
  <si>
    <t xml:space="preserve">Xəta cədvəli: 401 (token yox/saxta/bitib), 400 INVALID_JSON </t>
  </si>
  <si>
    <t xml:space="preserve">Yoxlama ardıcıllığı: auth → JSON → validasiya → OWN_ACCOUNT </t>
  </si>
  <si>
    <t>Ümumi qaydalar: 401, data token-ə bağlıdır (sandbox izolyasi</t>
  </si>
  <si>
    <t>Parametrsiz sorğu → 200; total = items.length; ən yeni əlavə</t>
  </si>
  <si>
    <t>sort=fullName&amp;order=asc → adlar əlifba sırası ilə (Azərbayca</t>
  </si>
  <si>
    <t>currency=USD → yalnız USD alıcılar, total uyğun</t>
  </si>
  <si>
    <t>q=NİGAR və ya q=NIGAR (nöqtəsiz I) → hər iki halda "Nigar Əl</t>
  </si>
  <si>
    <t>q ləqəbin bir hissəsidir → ləqəbə görə də tapılır</t>
  </si>
  <si>
    <t>q=a (1 simvol) → 400 VALIDATION_ERROR, field: "q"</t>
  </si>
  <si>
    <t>Heç nə tapılmır → 200, "total": 0, "items": []</t>
  </si>
  <si>
    <t xml:space="preserve">Parametrlər: q (≥ 2 simvol; fullName və nickname daxilində; </t>
  </si>
  <si>
    <t>Xəta cədvəli: 400 VALIDATION_ERROR (q &lt; 2, currency/sort/ord</t>
  </si>
  <si>
    <t>Qeyd: parametrlər birləşdirilə bilər (AND məntiqi)</t>
  </si>
  <si>
    <t>Ümumi qaydalar: data token-ə bağlıdır, başqa istifadəçinin r</t>
  </si>
  <si>
    <t>Mövcud alıcı silinir → 204, body boşdur</t>
  </si>
  <si>
    <t>Silinmiş alıcı → GET /beneficiaries-də yoxdur, total 1 azalı</t>
  </si>
  <si>
    <t>Eyni id ikinci dəfə silinir → 404 NOT_FOUND</t>
  </si>
  <si>
    <t>user2 user1-in alıcı id-si ilə silməyə çalışır → 404 NOT_FOU</t>
  </si>
  <si>
    <t>Parametr: id (path, məcburi) — GRAD-101-in qaytardığı id</t>
  </si>
  <si>
    <t>Xəta cədvəli: 401 (token yox/etibarsız), 404 NOT_FOUND (alıc</t>
  </si>
  <si>
    <t>Ümumi qaydalar: başqa istifadəçinin resursu → 404 (mövcudluq</t>
  </si>
  <si>
    <t>GRAD-101 ilə inteqrasiya: silmədən sonra 10 limitində yer bo</t>
  </si>
  <si>
    <t>Etibarlı sorğu → 201; status ACTIVE; availableBalance = init</t>
  </si>
  <si>
    <t xml:space="preserve">maskedPan "4169 73** **** NNNN" formatındadır; expiry MM/YY </t>
  </si>
  <si>
    <t>initialAmount 0.99 və ya 1000.01 → 400; 1.00 və 1000.00 qəbu</t>
  </si>
  <si>
    <t>initialAmount "50" (mətn) və ya 10.555 → 400 VALIDATION_ERRO</t>
  </si>
  <si>
    <t>user1 acc_003 ilə kart açmağa çalışır → 403 FORBIDDEN</t>
  </si>
  <si>
    <t>user2 891 yükləmək istəyir (balans 890.50) → 422 INSUFFICIEN</t>
  </si>
  <si>
    <t>3 ACTIVE/FROZEN kart var, 4-cü kart açılır → 422 CARD_LIMIT_</t>
  </si>
  <si>
    <t>Kartlardan biri BLOCKED edilib, yeni kart açılır → 201 — BLO</t>
  </si>
  <si>
    <t>Parametrlər: accountId (öz hesabı), initialAmount (number, 1</t>
  </si>
  <si>
    <t xml:space="preserve">Xəta cədvəli: 400 VALIDATION_ERROR, 401, 403 FORBIDDEN, 404 </t>
  </si>
  <si>
    <t>Qeydlər: karta yükləmə əsas hesabın balansını (GET /me/accou</t>
  </si>
  <si>
    <t xml:space="preserve">Kart yeni buraxılıb, GET edilir → 200; POST cavabı ilə eyni </t>
  </si>
  <si>
    <t>Kartla 50.50 AZN ödəniş edilib, GET edilir → availableBalanc</t>
  </si>
  <si>
    <t>Başqa istifadəçinin kart id-si, GET edilir → 404 NOT_FOUND</t>
  </si>
  <si>
    <t>Parametr: id (path, məcburi) — GRAD-201-in qaytardığı id</t>
  </si>
  <si>
    <t>Xəta cədvəli: 401, 404 NOT_FOUND (kart yoxdur və ya başqa is</t>
  </si>
  <si>
    <t>ACTIVE kart, reason TEMPORARY → 200; status FROZEN; blockRea</t>
  </si>
  <si>
    <t>ACTIVE kart, reason LOST → 200; status BLOCKED</t>
  </si>
  <si>
    <t>FROZEN kart, reason STOLEN → 200; status BLOCKED (eskalasiya</t>
  </si>
  <si>
    <t>FROZEN kart, reason TEMPORARY → 409 ALREADY_FROZEN</t>
  </si>
  <si>
    <t>BLOCKED kart, istənilən reason → 409 CARD_BLOCKED</t>
  </si>
  <si>
    <t>reason "BROKEN" və ya yoxdur → 400 VALIDATION_ERROR</t>
  </si>
  <si>
    <t>Kart FROZEN / BLOCKED, ödəniş edilir (GRAD-302) → 422 CARD_N</t>
  </si>
  <si>
    <t xml:space="preserve">Vəziyyət keçid cədvəli: 3 status × (TEMPORARY, LOST/STOLEN) </t>
  </si>
  <si>
    <t>Parametr: reason (məcburi) — TEMPORARY → FROZEN · LOST / STO</t>
  </si>
  <si>
    <t>Xəta cədvəli: 400 INVALID_JSON, 400 VALIDATION_ERROR, 401, 4</t>
  </si>
  <si>
    <t>Yoxlama ardıcıllığı: auth → JSON → reason validasiyası → NOT</t>
  </si>
  <si>
    <t>FROZEN kart, unblock edilir → 200; status ACTIVE; blockReaso</t>
  </si>
  <si>
    <t>ACTIVE kart, unblock edilir → 409 NOT_FROZEN</t>
  </si>
  <si>
    <t>BLOCKED kart, unblock edilir → 409 PERMANENTLY_BLOCKED</t>
  </si>
  <si>
    <t>Açılmış kartla ödəniş edilir → ödəniş uğurla keçir (201)</t>
  </si>
  <si>
    <t>Parametr: id (path, məcburi); body göndərilmir</t>
  </si>
  <si>
    <t>Xəta cədvəli: 401, 404 NOT_FOUND, 409 NOT_FROZEN, 409 PERMAN</t>
  </si>
  <si>
    <t>Parametrsiz → 200; total 6; hər element subscriberPattern, m</t>
  </si>
  <si>
    <t>category=MOBILE → yalnız Azercell və Bakcell</t>
  </si>
  <si>
    <t>category=GAS → 400 VALIDATION_ERROR</t>
  </si>
  <si>
    <t>Kataloq (test data): azerisiq UTILITY 10 rəqəm 1–500 · azers</t>
  </si>
  <si>
    <t>Parametr: category (opsional) — UTILITY | MOBILE | INTERNET</t>
  </si>
  <si>
    <t>Xəta cədvəli: 400 VALIDATION_ERROR (category icazəli deyil),</t>
  </si>
  <si>
    <t>Etibarlı ödəniş → 201; status SUCCESS; total = amount + fee;</t>
  </si>
  <si>
    <t>Ödəniş uğurludur, GET /cards/{id} → availableBalance total q</t>
  </si>
  <si>
    <t>Sandbox-da ilk ödəniş → receiptNo RCP-YYYYMMDD-000001; hər n</t>
  </si>
  <si>
    <t>Eyni Idempotency-Key + eyni body təkrar → 200 (201 yox); eyn</t>
  </si>
  <si>
    <t>Eyni Idempotency-Key, fərqli amount → 409 IDEMPOTENCY_CONFLI</t>
  </si>
  <si>
    <t>Idempotency-Key yoxdur → 400 IDEMPOTENCY_KEY_REQUIRED</t>
  </si>
  <si>
    <t>Azercell-ə 551234567 (Bakcell nömrəsi) → 422 INVALID_SUBSCRI</t>
  </si>
  <si>
    <t xml:space="preserve">Azercell: 0.49 və 200.01 → 422 AMOUNT_OUT_OF_RANGE; 0.50 və </t>
  </si>
  <si>
    <t>CityNet: 5, 20, 21, 150 AZN → fee 0.20, 0.20, 0.21, 1.50 (1%</t>
  </si>
  <si>
    <t>Aztelekom: istənilən məbləğ → fee 0.50 (sabit)</t>
  </si>
  <si>
    <t>total 300.01 → 422 PER_TRANSACTION_LIMIT; total 300.00 keçir</t>
  </si>
  <si>
    <t>Bu gün 500 xərclənib, 1 AZN də ödənir → 422 DAILY_LIMIT_EXCE</t>
  </si>
  <si>
    <t xml:space="preserve">Balans 49.50: 49.51 ödənir → 422 INSUFFICIENT_FUNDS / 49.50 </t>
  </si>
  <si>
    <t>FROZEN kart / USD kart → 422 CARD_NOT_ACTIVE / 422 CURRENCY_</t>
  </si>
  <si>
    <t>amount "10" (mətn) → 400 VALIDATION_ERROR</t>
  </si>
  <si>
    <t>Description: komissiya təchizatçının qaydası ilə hesablanır,</t>
  </si>
  <si>
    <t>Header: Idempotency-Key məcburi, unikal mətn, 8–64 simvol</t>
  </si>
  <si>
    <t>Parametrlər: cardId (öz virtual kartı), billerId (kataloqdan</t>
  </si>
  <si>
    <t>Xəta cədvəli: 400 IDEMPOTENCY_KEY_REQUIRED / IDEMPOTENCY_KEY</t>
  </si>
  <si>
    <t>Yoxlama ardıcıllığı: auth → Idempotency-Key → JSON → sahə va</t>
  </si>
  <si>
    <t>Qeydlər: limitlər və balans total (amount + fee) üzrə yoxlan</t>
  </si>
  <si>
    <t>Parametrsiz → 200; page 1, limit 10; ən yeni ödəniş birinci</t>
  </si>
  <si>
    <t>18 ödəniş var, limit 10, page=2 → 8 element; totalPages 2</t>
  </si>
  <si>
    <t>page=3 (mövcud deyil) → 200, items []</t>
  </si>
  <si>
    <t>limit=0 / 51, page=0 / -1 / abc → 400; limit 1 və 50 qəbul o</t>
  </si>
  <si>
    <t>from=2026-13-01 → 400 (mövcud olmayan tarix)</t>
  </si>
  <si>
    <t>from &gt; to → 400</t>
  </si>
  <si>
    <t>from = to = bu gün → bu günün bütün ödənişləri</t>
  </si>
  <si>
    <t>billerId=citynet → yalnız citynet ödənişləri; total uyğun</t>
  </si>
  <si>
    <t>Parametrlər: page (tam ədəd ≥ 1, default 1), limit (tam ədəd</t>
  </si>
  <si>
    <t>Description: ödənişlər ən yenidən köhnəyə; tarix filtrləri B</t>
  </si>
  <si>
    <t>Qeyd: total filtrdən sonrakı ümumi saydır, səhifədəki say de</t>
  </si>
  <si>
    <t>Xəta cədvəli: 400 VALIDATION_ERROR (page / limit / tarix for</t>
  </si>
  <si>
    <t>TC ID</t>
  </si>
  <si>
    <t>Başlıq</t>
  </si>
  <si>
    <t>Ssenari</t>
  </si>
  <si>
    <t>101·AC-1</t>
  </si>
  <si>
    <t>101·AC-2</t>
  </si>
  <si>
    <t>101·AC-3</t>
  </si>
  <si>
    <t>101·AC-4</t>
  </si>
  <si>
    <t>101·AC-5</t>
  </si>
  <si>
    <t>101·AC-6</t>
  </si>
  <si>
    <t>101·AC-7</t>
  </si>
  <si>
    <t>101·AC-8</t>
  </si>
  <si>
    <t>101·AC-9</t>
  </si>
  <si>
    <t>101·AC-10</t>
  </si>
  <si>
    <t>101·PAR</t>
  </si>
  <si>
    <t>101·ERR</t>
  </si>
  <si>
    <t>101·ORD</t>
  </si>
  <si>
    <t>101·GEN</t>
  </si>
  <si>
    <t>102·AC-1</t>
  </si>
  <si>
    <t>102·AC-2</t>
  </si>
  <si>
    <t>102·AC-3</t>
  </si>
  <si>
    <t>102·AC-4</t>
  </si>
  <si>
    <t>102·AC-5</t>
  </si>
  <si>
    <t>102·AC-6</t>
  </si>
  <si>
    <t>102·AC-7</t>
  </si>
  <si>
    <t>102·PAR</t>
  </si>
  <si>
    <t>102·ERR</t>
  </si>
  <si>
    <t>102·NOTE</t>
  </si>
  <si>
    <t>102·GEN</t>
  </si>
  <si>
    <t>103·AC-1</t>
  </si>
  <si>
    <t>103·AC-2</t>
  </si>
  <si>
    <t>103·AC-3</t>
  </si>
  <si>
    <t>103·AC-4</t>
  </si>
  <si>
    <t>103·PAR</t>
  </si>
  <si>
    <t>103·ERR</t>
  </si>
  <si>
    <t>103·GEN</t>
  </si>
  <si>
    <t>103·INT</t>
  </si>
  <si>
    <t>201·AC-1</t>
  </si>
  <si>
    <t>201·AC-2</t>
  </si>
  <si>
    <t>201·AC-3</t>
  </si>
  <si>
    <t>201·AC-4</t>
  </si>
  <si>
    <t>201·AC-5</t>
  </si>
  <si>
    <t>201·AC-6</t>
  </si>
  <si>
    <t>201·AC-7</t>
  </si>
  <si>
    <t>201·AC-8</t>
  </si>
  <si>
    <t>201·PAR</t>
  </si>
  <si>
    <t>201·ERR</t>
  </si>
  <si>
    <t>201·NOTE</t>
  </si>
  <si>
    <t>202·AC-1</t>
  </si>
  <si>
    <t>202·AC-2</t>
  </si>
  <si>
    <t>202·AC-3</t>
  </si>
  <si>
    <t>202·PAR</t>
  </si>
  <si>
    <t>202·ERR</t>
  </si>
  <si>
    <t>203·AC-1</t>
  </si>
  <si>
    <t>203·AC-2</t>
  </si>
  <si>
    <t>203·AC-3</t>
  </si>
  <si>
    <t>203·AC-4</t>
  </si>
  <si>
    <t>203·AC-5</t>
  </si>
  <si>
    <t>203·AC-6</t>
  </si>
  <si>
    <t>203·AC-7</t>
  </si>
  <si>
    <t>203·STT</t>
  </si>
  <si>
    <t>203·PAR</t>
  </si>
  <si>
    <t>203·ERR</t>
  </si>
  <si>
    <t>203·ORD</t>
  </si>
  <si>
    <t>204·AC-1</t>
  </si>
  <si>
    <t>204·AC-2</t>
  </si>
  <si>
    <t>204·AC-3</t>
  </si>
  <si>
    <t>204·AC-4</t>
  </si>
  <si>
    <t>204·PAR</t>
  </si>
  <si>
    <t>204·ERR</t>
  </si>
  <si>
    <t>301·AC-1</t>
  </si>
  <si>
    <t>301·AC-2</t>
  </si>
  <si>
    <t>301·AC-3</t>
  </si>
  <si>
    <t>301·CAT</t>
  </si>
  <si>
    <t>301·PAR</t>
  </si>
  <si>
    <t>301·ERR</t>
  </si>
  <si>
    <t>302·AC-1</t>
  </si>
  <si>
    <t>302·AC-2</t>
  </si>
  <si>
    <t>302·AC-3</t>
  </si>
  <si>
    <t>302·AC-4</t>
  </si>
  <si>
    <t>302·AC-5</t>
  </si>
  <si>
    <t>302·AC-6</t>
  </si>
  <si>
    <t>302·AC-7</t>
  </si>
  <si>
    <t>302·AC-8</t>
  </si>
  <si>
    <t>302·AC-9</t>
  </si>
  <si>
    <t>302·AC-10</t>
  </si>
  <si>
    <t>302·AC-11</t>
  </si>
  <si>
    <t>302·AC-12</t>
  </si>
  <si>
    <t>302·AC-13</t>
  </si>
  <si>
    <t>302·AC-14</t>
  </si>
  <si>
    <t>302·AC-15</t>
  </si>
  <si>
    <t>302·FEE</t>
  </si>
  <si>
    <t>302·HDR</t>
  </si>
  <si>
    <t>302·PAR</t>
  </si>
  <si>
    <t>302·ERR</t>
  </si>
  <si>
    <t>302·ORD</t>
  </si>
  <si>
    <t>302·NOTE</t>
  </si>
  <si>
    <t>303·AC-1</t>
  </si>
  <si>
    <t>303·AC-2</t>
  </si>
  <si>
    <t>303·AC-3</t>
  </si>
  <si>
    <t>303·AC-4</t>
  </si>
  <si>
    <t>303·AC-5</t>
  </si>
  <si>
    <t>303·AC-6</t>
  </si>
  <si>
    <t>303·AC-7</t>
  </si>
  <si>
    <t>303·AC-8</t>
  </si>
  <si>
    <t>303·PAR</t>
  </si>
  <si>
    <t>303·DSC</t>
  </si>
  <si>
    <t>303·NOTE</t>
  </si>
  <si>
    <t>303·ERR</t>
  </si>
  <si>
    <t>303·GEN</t>
  </si>
  <si>
    <t>✓</t>
  </si>
  <si>
    <t>Əhatə — case sayı</t>
  </si>
  <si>
    <t>Not Run</t>
  </si>
  <si>
    <t>Əhatə vəziyyəti</t>
  </si>
  <si>
    <t>Bug Report-lar — Bank API</t>
  </si>
  <si>
    <t>Endpoint</t>
  </si>
  <si>
    <t>Request (addımlar)</t>
  </si>
  <si>
    <t>Faktiki nəticə (status + body)</t>
  </si>
  <si>
    <t>Severity</t>
  </si>
  <si>
    <t>Priority</t>
  </si>
  <si>
    <t>Sübut</t>
  </si>
  <si>
    <t>Tarix</t>
  </si>
  <si>
    <t>Əlaqəli test case</t>
  </si>
  <si>
    <t>Azərişıq kataloqunda maxAmount = 500, amma kartın bir əməliyyat limiti həmişə 300-dür — 300.01–500 aralığı heç vaxt ödənilə bilmir</t>
  </si>
  <si>
    <t>GRAD-301 / GRAD-302</t>
  </si>
  <si>
    <t>GET /billers · POST /bill-payments</t>
  </si>
  <si>
    <t>https://api.anarabbas.com · user1@test.com (acc_002, AZN) · Gauge + RestAssured və CallMan</t>
  </si>
  <si>
    <t>1. GET /billers → azerisiq: minAmount 1, maxAmount 500
2. POST /cards {"label":"Kommunal"} → limits = {"dailyOnline": 500, "perTransaction": 300} (limit sorğuda dəyişdirilə bilmir)
3. POST /bill-payments, Idempotency-Key, body: {"billerId":"azerisiq","subscriber":"1234567890","amount":300.01,"cardId":"&lt;id&gt;"}</t>
  </si>
  <si>
    <t>Kataloqda göstərilən aralıq (1–500) istifadəçi üçün əlçatan olmalıdır; ya kart limiti bu məbləğə icazə verməli, ya da kataloqda maxAmount əlçatan limitə (300) uyğun göstərilməlidir.</t>
  </si>
  <si>
    <t>422 · code = "PER_TRANSACTION_LIMIT". Azərişıq üçün 300.01–500 AZN aralığında heç bir ödəniş keçmir, halbuki GET /billers bu aralığı icazəli kimi qaytarır.</t>
  </si>
  <si>
    <t>Medium</t>
  </si>
  <si>
    <t>New</t>
  </si>
  <si>
    <t>TC_PAY_BVA_043 və known_bugs.spec Gauge report (16.10.2026) — 422 PER_TRANSACTION_LIMIT; TC_PAY_POS_001 — azerisiq maxAmount 500</t>
  </si>
  <si>
    <t>16.10.2026</t>
  </si>
  <si>
    <t>TC_PAY_BVA_043, TC_PAY_EDGE_050, TC_PAY_POS_001</t>
  </si>
  <si>
    <t>specs/bank-api/known_bugs.spec — tag: known-bug. 16.10.2026: gözlənilən FAIL (201 əvəzinə 422 PER_TRANSACTION_LIMIT, limit 300, total 400)</t>
  </si>
  <si>
    <t>CityNet komissiyasının "maksimum 2.00 AZN" qaydası heç vaxt işləmir — maxAmount 150 olduğu üçün 1% komissiya ən çox 1.50 olur</t>
  </si>
  <si>
    <t>1. GET /billers → citynet: minAmount 5, maxAmount 150, fee = {type: PERCENT, value: 1, min: 0.2, max: 2}
2. POST /bill-payments, citynet, amount 150 (maksimum)</t>
  </si>
  <si>
    <t>Sənəddəki hər qayda test edilə bilən və real təsiri olan olmalıdır: ya maxAmount &gt; 200 olmalıdır, ya da komissiyanın max-ı 1.50-ə uyğun göstərilməlidir.</t>
  </si>
  <si>
    <t>201 · fee = 1.50 (150 × 1%). Komissiyanın max 2.00 sərhədinə heç bir icazəli məbləğlə çatmaq olmur — qayda ölü (test edilə bilməyən) tələbdir.</t>
  </si>
  <si>
    <t>Low</t>
  </si>
  <si>
    <t>TC_PAY_BVA_013 (150 → 1.50) — Gauge report (16.10.2026)</t>
  </si>
  <si>
    <t>TC_PAY_POS_003, TC_PAY_BVA_013</t>
  </si>
  <si>
    <t>— (sənəd tələbinin ölü qaydası; TC_PAY_BVA_013 faktiki davranışı (150 → 1.50) yoxlayır)</t>
  </si>
  <si>
    <t>Komissiyasız təchizatçılar üçün fee formatı sənəddə yoxdur — API {"type": "NONE"} qaytarır</t>
  </si>
  <si>
    <t>GRAD-301</t>
  </si>
  <si>
    <t>GET /billers</t>
  </si>
  <si>
    <t>1. GET /billers
2. azerisiq, azersu, azercell, bakcell elementlərində fee sahəsinə bax</t>
  </si>
  <si>
    <t>Sənəddə komissiya növlərinin hamısı (PERCENT, sabit, komissiyasız) və onların JSON formatı göstərilməlidir.</t>
  </si>
  <si>
    <t>200 · azerisiq / azersu / azercell / bakcell: fee = {"type": "NONE"}; aztelekom: fee.value = 0.5 (type PERCENT deyil). Sənəddə yalnız CityNet-in formatı (PERCENT) var — inteqrasiya edən tərəf formatı təxmin etməli olur.</t>
  </si>
  <si>
    <t>TC_PAY_POS_003 Gauge report (16.10.2026) — fee.type = NONE</t>
  </si>
  <si>
    <t>TC_PAY_POS_003, TC_PAY_POS_016</t>
  </si>
  <si>
    <t>— (sənəddə format yoxdur; TC_PAY_POS_003 faktiki formatı (fee.type = NONE) yoxlayır)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</si>
</sst>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14"/>
      <color theme="3"/>
      <name val="Calibri"/>
      <family val="2"/>
      <charset val="1"/>
    </font>
    <font>
      <sz val="12"/>
      <color theme="1"/>
      <name val="Arial"/>
      <family val="2"/>
      <charset val="1"/>
    </font>
    <font>
      <b/>
      <sz val="12"/>
      <name val="Arial"/>
      <family val="2"/>
      <charset val="1"/>
    </font>
    <font>
      <b/>
      <sz val="14"/>
      <color theme="3"/>
      <name val="Cambria"/>
      <family val="1"/>
      <charset val="1"/>
    </font>
    <font>
      <sz val="11"/>
      <color theme="3"/>
      <name val="Calibri"/>
      <family val="2"/>
      <charset val="1"/>
    </font>
    <font>
      <b/>
      <sz val="12"/>
      <color theme="3"/>
      <name val="Arial"/>
      <family val="2"/>
      <charset val="1"/>
    </font>
    <font>
      <sz val="12"/>
      <color rgb="FFFF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CE6F2"/>
      </patternFill>
    </fill>
    <fill>
      <patternFill patternType="solid">
        <fgColor theme="4" tint="0.79989013336588644"/>
        <bgColor rgb="FFD9E1F2"/>
      </patternFill>
    </fill>
    <fill>
      <patternFill patternType="solid">
        <fgColor rgb="FF1F3864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6"/>
  <sheetViews>
    <sheetView topLeftCell="A7" zoomScaleNormal="100" workbookViewId="0">
      <selection activeCell="B5" sqref="B5"/>
    </sheetView>
  </sheetViews>
  <sheetFormatPr defaultColWidth="8.6640625" defaultRowHeight="13.8" x14ac:dyDescent="0.25"/>
  <cols>
    <col min="1" max="1" width="52.5546875" style="4" customWidth="1"/>
    <col min="2" max="2" width="110" style="4" customWidth="1"/>
    <col min="3" max="16384" width="8.6640625" style="4"/>
  </cols>
  <sheetData>
    <row r="1" spans="1:2" ht="66.75" customHeight="1" x14ac:dyDescent="0.25">
      <c r="A1" s="5" t="s">
        <v>0</v>
      </c>
      <c r="B1" s="6"/>
    </row>
    <row r="2" spans="1:2" ht="177" customHeight="1" x14ac:dyDescent="0.25">
      <c r="A2" s="7" t="s">
        <v>1</v>
      </c>
      <c r="B2" s="6"/>
    </row>
    <row r="3" spans="1:2" ht="15" customHeight="1" x14ac:dyDescent="0.25">
      <c r="A3" s="6"/>
      <c r="B3" s="6"/>
    </row>
    <row r="4" spans="1:2" ht="35.25" customHeight="1" x14ac:dyDescent="0.25">
      <c r="A4" s="3" t="s">
        <v>2</v>
      </c>
      <c r="B4" s="3"/>
    </row>
    <row r="5" spans="1:2" ht="27.75" customHeight="1" x14ac:dyDescent="0.25">
      <c r="A5" s="8" t="s">
        <v>3</v>
      </c>
      <c r="B5" s="9" t="s">
        <v>4</v>
      </c>
    </row>
    <row r="6" spans="1:2" ht="57.75" customHeight="1" x14ac:dyDescent="0.25">
      <c r="A6" s="8" t="s">
        <v>5</v>
      </c>
      <c r="B6" s="9" t="s">
        <v>6</v>
      </c>
    </row>
    <row r="7" spans="1:2" ht="37.5" customHeight="1" x14ac:dyDescent="0.25">
      <c r="A7" s="8" t="s">
        <v>7</v>
      </c>
      <c r="B7" s="9" t="s">
        <v>8</v>
      </c>
    </row>
    <row r="8" spans="1:2" ht="30.75" customHeight="1" x14ac:dyDescent="0.25">
      <c r="A8" s="3" t="s">
        <v>9</v>
      </c>
      <c r="B8" s="3"/>
    </row>
    <row r="9" spans="1:2" ht="37.5" customHeight="1" x14ac:dyDescent="0.25">
      <c r="A9" s="8" t="s">
        <v>10</v>
      </c>
      <c r="B9" s="9" t="s">
        <v>11</v>
      </c>
    </row>
    <row r="10" spans="1:2" ht="37.5" customHeight="1" x14ac:dyDescent="0.25">
      <c r="A10" s="8" t="s">
        <v>12</v>
      </c>
      <c r="B10" s="9" t="s">
        <v>13</v>
      </c>
    </row>
    <row r="11" spans="1:2" ht="37.5" customHeight="1" x14ac:dyDescent="0.25">
      <c r="A11" s="8" t="s">
        <v>14</v>
      </c>
      <c r="B11" s="9" t="s">
        <v>15</v>
      </c>
    </row>
    <row r="12" spans="1:2" ht="124.5" customHeight="1" x14ac:dyDescent="0.25">
      <c r="A12" s="8" t="s">
        <v>16</v>
      </c>
      <c r="B12" s="9" t="s">
        <v>17</v>
      </c>
    </row>
    <row r="13" spans="1:2" ht="37.5" customHeight="1" x14ac:dyDescent="0.25">
      <c r="A13" s="8" t="s">
        <v>18</v>
      </c>
      <c r="B13" s="9" t="s">
        <v>19</v>
      </c>
    </row>
    <row r="14" spans="1:2" ht="34.5" customHeight="1" x14ac:dyDescent="0.25">
      <c r="A14" s="3" t="s">
        <v>20</v>
      </c>
      <c r="B14" s="3"/>
    </row>
    <row r="15" spans="1:2" ht="45" customHeight="1" x14ac:dyDescent="0.25">
      <c r="A15" s="8" t="s">
        <v>21</v>
      </c>
      <c r="B15" s="9" t="s">
        <v>22</v>
      </c>
    </row>
    <row r="16" spans="1:2" ht="45" customHeight="1" x14ac:dyDescent="0.25">
      <c r="A16" s="8" t="s">
        <v>23</v>
      </c>
      <c r="B16" s="9" t="s">
        <v>24</v>
      </c>
    </row>
    <row r="17" spans="1:2" ht="69" customHeight="1" x14ac:dyDescent="0.25">
      <c r="A17" s="8" t="s">
        <v>25</v>
      </c>
      <c r="B17" s="9" t="s">
        <v>26</v>
      </c>
    </row>
    <row r="18" spans="1:2" ht="69" customHeight="1" x14ac:dyDescent="0.25">
      <c r="A18" s="8" t="s">
        <v>27</v>
      </c>
      <c r="B18" s="9" t="s">
        <v>28</v>
      </c>
    </row>
    <row r="19" spans="1:2" ht="30.75" customHeight="1" x14ac:dyDescent="0.25">
      <c r="A19" s="3" t="s">
        <v>29</v>
      </c>
      <c r="B19" s="3"/>
    </row>
    <row r="20" spans="1:2" ht="30" customHeight="1" x14ac:dyDescent="0.25">
      <c r="A20" s="8" t="s">
        <v>30</v>
      </c>
      <c r="B20" s="9" t="s">
        <v>31</v>
      </c>
    </row>
    <row r="21" spans="1:2" ht="39" customHeight="1" x14ac:dyDescent="0.25">
      <c r="A21" s="8" t="s">
        <v>32</v>
      </c>
      <c r="B21" s="9" t="s">
        <v>33</v>
      </c>
    </row>
    <row r="22" spans="1:2" ht="30" customHeight="1" x14ac:dyDescent="0.25">
      <c r="A22" s="3" t="s">
        <v>34</v>
      </c>
      <c r="B22" s="3"/>
    </row>
    <row r="23" spans="1:2" ht="30" customHeight="1" x14ac:dyDescent="0.25">
      <c r="A23" s="8" t="s">
        <v>35</v>
      </c>
      <c r="B23" s="9" t="s">
        <v>36</v>
      </c>
    </row>
    <row r="24" spans="1:2" ht="30" customHeight="1" x14ac:dyDescent="0.25">
      <c r="A24" s="8" t="s">
        <v>37</v>
      </c>
      <c r="B24" s="9" t="s">
        <v>38</v>
      </c>
    </row>
    <row r="25" spans="1:2" ht="39" customHeight="1" x14ac:dyDescent="0.25">
      <c r="A25" s="8" t="s">
        <v>39</v>
      </c>
      <c r="B25" s="9" t="s">
        <v>40</v>
      </c>
    </row>
    <row r="26" spans="1:2" ht="30" customHeight="1" x14ac:dyDescent="0.25">
      <c r="A26" s="8" t="s">
        <v>41</v>
      </c>
      <c r="B26" s="9" t="s">
        <v>42</v>
      </c>
    </row>
  </sheetData>
  <mergeCells count="5">
    <mergeCell ref="A4:B4"/>
    <mergeCell ref="A8:B8"/>
    <mergeCell ref="A14:B14"/>
    <mergeCell ref="A19:B19"/>
    <mergeCell ref="A22:B22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Normal="100" workbookViewId="0">
      <pane ySplit="4" topLeftCell="A5" activePane="bottomLeft" state="frozen"/>
      <selection pane="bottomLeft" activeCell="C23" sqref="C23"/>
    </sheetView>
  </sheetViews>
  <sheetFormatPr defaultColWidth="8.6640625" defaultRowHeight="14.4" x14ac:dyDescent="0.3"/>
  <cols>
    <col min="1" max="1" width="18" customWidth="1"/>
    <col min="2" max="2" width="30.33203125" customWidth="1"/>
    <col min="3" max="3" width="80" customWidth="1"/>
    <col min="4" max="4" width="22.5546875" customWidth="1"/>
    <col min="5" max="5" width="28.6640625" customWidth="1"/>
    <col min="6" max="8" width="15.6640625" customWidth="1"/>
  </cols>
  <sheetData>
    <row r="1" spans="1:8" ht="33" customHeight="1" x14ac:dyDescent="0.3">
      <c r="A1" s="10" t="s">
        <v>43</v>
      </c>
      <c r="B1" s="11"/>
      <c r="C1" s="11"/>
    </row>
    <row r="2" spans="1:8" ht="27" customHeight="1" x14ac:dyDescent="0.3">
      <c r="A2" s="2"/>
      <c r="B2" s="2"/>
      <c r="C2" s="2"/>
      <c r="D2" s="2"/>
      <c r="E2" s="2"/>
      <c r="F2" s="2"/>
      <c r="G2" s="2"/>
      <c r="H2" s="2"/>
    </row>
    <row r="4" spans="1:8" ht="41.25" customHeight="1" x14ac:dyDescent="0.3">
      <c r="A4" s="12" t="s">
        <v>44</v>
      </c>
      <c r="B4" s="12" t="s">
        <v>45</v>
      </c>
      <c r="C4" s="12" t="s">
        <v>46</v>
      </c>
      <c r="D4" s="12" t="s">
        <v>18</v>
      </c>
      <c r="E4" s="12" t="s">
        <v>47</v>
      </c>
      <c r="F4" s="12" t="s">
        <v>48</v>
      </c>
      <c r="G4" s="12" t="s">
        <v>49</v>
      </c>
      <c r="H4" s="12" t="s">
        <v>50</v>
      </c>
    </row>
    <row r="5" spans="1:8" ht="70.5" customHeight="1" x14ac:dyDescent="0.3">
      <c r="A5" s="13" t="s">
        <v>51</v>
      </c>
      <c r="B5" s="13" t="s">
        <v>52</v>
      </c>
      <c r="C5" s="13" t="s">
        <v>53</v>
      </c>
      <c r="D5" s="14" t="s">
        <v>54</v>
      </c>
      <c r="E5" s="13" t="s">
        <v>55</v>
      </c>
      <c r="F5" s="13">
        <f>COUNTIF('API Test Cases'!$B$5:$B$215,A5)</f>
        <v>5</v>
      </c>
      <c r="G5" s="13">
        <f>COUNTIFS('API Test Cases'!$B$5:$B$215,A5,'API Test Cases'!$M$5:$M$215,"Pass")</f>
        <v>5</v>
      </c>
      <c r="H5" s="13">
        <f>COUNTIFS('API Test Cases'!$B$5:$B$215,A5,'API Test Cases'!$M$5:$M$215,"Fail")</f>
        <v>0</v>
      </c>
    </row>
    <row r="6" spans="1:8" ht="70.5" customHeight="1" x14ac:dyDescent="0.3">
      <c r="A6" s="13" t="s">
        <v>56</v>
      </c>
      <c r="B6" s="13" t="s">
        <v>52</v>
      </c>
      <c r="C6" s="13" t="s">
        <v>57</v>
      </c>
      <c r="D6" s="13" t="s">
        <v>58</v>
      </c>
      <c r="E6" s="13" t="s">
        <v>59</v>
      </c>
      <c r="F6" s="13">
        <f>COUNTIF('API Test Cases'!$B$5:$B$215,A6)</f>
        <v>10</v>
      </c>
      <c r="G6" s="13">
        <f>COUNTIFS('API Test Cases'!$B$5:$B$215,A6,'API Test Cases'!$M$5:$M$215,"Pass")</f>
        <v>10</v>
      </c>
      <c r="H6" s="13">
        <f>COUNTIFS('API Test Cases'!$B$5:$B$215,A6,'API Test Cases'!$M$5:$M$215,"Fail")</f>
        <v>0</v>
      </c>
    </row>
    <row r="7" spans="1:8" ht="70.5" customHeight="1" x14ac:dyDescent="0.3">
      <c r="A7" s="13" t="s">
        <v>60</v>
      </c>
      <c r="B7" s="13" t="s">
        <v>52</v>
      </c>
      <c r="C7" s="13" t="s">
        <v>61</v>
      </c>
      <c r="D7" s="13" t="s">
        <v>58</v>
      </c>
      <c r="E7" s="13" t="s">
        <v>62</v>
      </c>
      <c r="F7" s="13">
        <f>COUNTIF('API Test Cases'!$B$5:$B$215,A7)</f>
        <v>5</v>
      </c>
      <c r="G7" s="13">
        <f>COUNTIFS('API Test Cases'!$B$5:$B$215,A7,'API Test Cases'!$M$5:$M$215,"Pass")</f>
        <v>5</v>
      </c>
      <c r="H7" s="13">
        <f>COUNTIFS('API Test Cases'!$B$5:$B$215,A7,'API Test Cases'!$M$5:$M$215,"Fail")</f>
        <v>0</v>
      </c>
    </row>
    <row r="8" spans="1:8" ht="70.5" customHeight="1" x14ac:dyDescent="0.3">
      <c r="A8" s="13" t="s">
        <v>63</v>
      </c>
      <c r="B8" s="13" t="s">
        <v>52</v>
      </c>
      <c r="C8" s="13" t="s">
        <v>64</v>
      </c>
      <c r="D8" s="13" t="s">
        <v>58</v>
      </c>
      <c r="E8" s="13" t="s">
        <v>62</v>
      </c>
      <c r="F8" s="13">
        <f>COUNTIF('API Test Cases'!$B$5:$B$215,A8)</f>
        <v>6</v>
      </c>
      <c r="G8" s="13">
        <f>COUNTIFS('API Test Cases'!$B$5:$B$215,A8,'API Test Cases'!$M$5:$M$215,"Pass")</f>
        <v>6</v>
      </c>
      <c r="H8" s="13">
        <f>COUNTIFS('API Test Cases'!$B$5:$B$215,A8,'API Test Cases'!$M$5:$M$215,"Fail")</f>
        <v>0</v>
      </c>
    </row>
    <row r="9" spans="1:8" ht="70.5" customHeight="1" x14ac:dyDescent="0.3">
      <c r="A9" s="13" t="s">
        <v>65</v>
      </c>
      <c r="B9" s="13" t="s">
        <v>52</v>
      </c>
      <c r="C9" s="13" t="s">
        <v>66</v>
      </c>
      <c r="D9" s="13" t="s">
        <v>58</v>
      </c>
      <c r="E9" s="13" t="s">
        <v>67</v>
      </c>
      <c r="F9" s="13">
        <f>COUNTIF('API Test Cases'!$B$5:$B$215,A9)</f>
        <v>6</v>
      </c>
      <c r="G9" s="13">
        <f>COUNTIFS('API Test Cases'!$B$5:$B$215,A9,'API Test Cases'!$M$5:$M$215,"Pass")</f>
        <v>6</v>
      </c>
      <c r="H9" s="13">
        <f>COUNTIFS('API Test Cases'!$B$5:$B$215,A9,'API Test Cases'!$M$5:$M$215,"Fail")</f>
        <v>0</v>
      </c>
    </row>
    <row r="10" spans="1:8" ht="70.5" customHeight="1" x14ac:dyDescent="0.3">
      <c r="A10" s="13" t="s">
        <v>68</v>
      </c>
      <c r="B10" s="13" t="s">
        <v>52</v>
      </c>
      <c r="C10" s="13" t="s">
        <v>69</v>
      </c>
      <c r="D10" s="14" t="s">
        <v>54</v>
      </c>
      <c r="E10" s="13" t="s">
        <v>70</v>
      </c>
      <c r="F10" s="13">
        <f>COUNTIF('API Test Cases'!$B$5:$B$215,A10)</f>
        <v>9</v>
      </c>
      <c r="G10" s="13">
        <f>COUNTIFS('API Test Cases'!$B$5:$B$215,A10,'API Test Cases'!$M$5:$M$215,"Pass")</f>
        <v>9</v>
      </c>
      <c r="H10" s="13">
        <f>COUNTIFS('API Test Cases'!$B$5:$B$215,A10,'API Test Cases'!$M$5:$M$215,"Fail")</f>
        <v>0</v>
      </c>
    </row>
    <row r="11" spans="1:8" ht="70.5" customHeight="1" x14ac:dyDescent="0.3">
      <c r="A11" s="13" t="s">
        <v>71</v>
      </c>
      <c r="B11" s="13" t="s">
        <v>72</v>
      </c>
      <c r="C11" s="13" t="s">
        <v>73</v>
      </c>
      <c r="D11" s="13" t="s">
        <v>58</v>
      </c>
      <c r="E11" s="13" t="s">
        <v>74</v>
      </c>
      <c r="F11" s="13">
        <f>COUNTIF('API Test Cases'!$B$5:$B$215,A11)</f>
        <v>7</v>
      </c>
      <c r="G11" s="13">
        <f>COUNTIFS('API Test Cases'!$B$5:$B$215,A11,'API Test Cases'!$M$5:$M$215,"Pass")</f>
        <v>7</v>
      </c>
      <c r="H11" s="13">
        <f>COUNTIFS('API Test Cases'!$B$5:$B$215,A11,'API Test Cases'!$M$5:$M$215,"Fail")</f>
        <v>0</v>
      </c>
    </row>
    <row r="12" spans="1:8" ht="70.5" customHeight="1" x14ac:dyDescent="0.3">
      <c r="A12" s="13" t="s">
        <v>75</v>
      </c>
      <c r="B12" s="13" t="s">
        <v>72</v>
      </c>
      <c r="C12" s="13" t="s">
        <v>76</v>
      </c>
      <c r="D12" s="13" t="s">
        <v>58</v>
      </c>
      <c r="E12" s="13" t="s">
        <v>77</v>
      </c>
      <c r="F12" s="13">
        <f>COUNTIF('API Test Cases'!$B$5:$B$215,A12)</f>
        <v>9</v>
      </c>
      <c r="G12" s="13">
        <f>COUNTIFS('API Test Cases'!$B$5:$B$215,A12,'API Test Cases'!$M$5:$M$215,"Pass")</f>
        <v>9</v>
      </c>
      <c r="H12" s="13">
        <f>COUNTIFS('API Test Cases'!$B$5:$B$215,A12,'API Test Cases'!$M$5:$M$215,"Fail")</f>
        <v>0</v>
      </c>
    </row>
    <row r="13" spans="1:8" ht="70.5" customHeight="1" x14ac:dyDescent="0.3">
      <c r="A13" s="13" t="s">
        <v>78</v>
      </c>
      <c r="B13" s="13" t="s">
        <v>72</v>
      </c>
      <c r="C13" s="13" t="s">
        <v>79</v>
      </c>
      <c r="D13" s="13" t="s">
        <v>58</v>
      </c>
      <c r="E13" s="13" t="s">
        <v>80</v>
      </c>
      <c r="F13" s="13">
        <f>COUNTIF('API Test Cases'!$B$5:$B$215,A13)</f>
        <v>4</v>
      </c>
      <c r="G13" s="13">
        <f>COUNTIFS('API Test Cases'!$B$5:$B$215,A13,'API Test Cases'!$M$5:$M$215,"Pass")</f>
        <v>4</v>
      </c>
      <c r="H13" s="13">
        <f>COUNTIFS('API Test Cases'!$B$5:$B$215,A13,'API Test Cases'!$M$5:$M$215,"Fail")</f>
        <v>0</v>
      </c>
    </row>
    <row r="14" spans="1:8" ht="70.5" customHeight="1" x14ac:dyDescent="0.3">
      <c r="A14" s="13" t="s">
        <v>81</v>
      </c>
      <c r="B14" s="13" t="s">
        <v>72</v>
      </c>
      <c r="C14" s="13" t="s">
        <v>82</v>
      </c>
      <c r="D14" s="13" t="s">
        <v>58</v>
      </c>
      <c r="E14" s="13" t="s">
        <v>83</v>
      </c>
      <c r="F14" s="13">
        <f>COUNTIF('API Test Cases'!$B$5:$B$215,A14)</f>
        <v>7</v>
      </c>
      <c r="G14" s="13">
        <f>COUNTIFS('API Test Cases'!$B$5:$B$215,A14,'API Test Cases'!$M$5:$M$215,"Pass")</f>
        <v>7</v>
      </c>
      <c r="H14" s="13">
        <f>COUNTIFS('API Test Cases'!$B$5:$B$215,A14,'API Test Cases'!$M$5:$M$215,"Fail")</f>
        <v>0</v>
      </c>
    </row>
    <row r="15" spans="1:8" ht="70.5" customHeight="1" x14ac:dyDescent="0.3">
      <c r="A15" s="13" t="s">
        <v>84</v>
      </c>
      <c r="B15" s="13" t="s">
        <v>85</v>
      </c>
      <c r="C15" s="13" t="s">
        <v>86</v>
      </c>
      <c r="D15" s="13" t="s">
        <v>58</v>
      </c>
      <c r="E15" s="13" t="s">
        <v>87</v>
      </c>
      <c r="F15" s="13">
        <f>COUNTIF('API Test Cases'!$B$5:$B$215,A15)</f>
        <v>5</v>
      </c>
      <c r="G15" s="13">
        <f>COUNTIFS('API Test Cases'!$B$5:$B$215,A15,'API Test Cases'!$M$5:$M$215,"Pass")</f>
        <v>5</v>
      </c>
      <c r="H15" s="13">
        <f>COUNTIFS('API Test Cases'!$B$5:$B$215,A15,'API Test Cases'!$M$5:$M$215,"Fail")</f>
        <v>0</v>
      </c>
    </row>
    <row r="16" spans="1:8" ht="70.5" customHeight="1" x14ac:dyDescent="0.3">
      <c r="A16" s="13" t="s">
        <v>88</v>
      </c>
      <c r="B16" s="13" t="s">
        <v>85</v>
      </c>
      <c r="C16" s="13" t="s">
        <v>89</v>
      </c>
      <c r="D16" s="14" t="s">
        <v>54</v>
      </c>
      <c r="E16" s="13" t="s">
        <v>90</v>
      </c>
      <c r="F16" s="13">
        <f>COUNTIF('API Test Cases'!$B$5:$B$215,A16)</f>
        <v>6</v>
      </c>
      <c r="G16" s="13">
        <f>COUNTIFS('API Test Cases'!$B$5:$B$215,A16,'API Test Cases'!$M$5:$M$215,"Pass")</f>
        <v>6</v>
      </c>
      <c r="H16" s="13">
        <f>COUNTIFS('API Test Cases'!$B$5:$B$215,A16,'API Test Cases'!$M$5:$M$215,"Fail")</f>
        <v>0</v>
      </c>
    </row>
    <row r="17" spans="1:8" ht="70.5" customHeight="1" x14ac:dyDescent="0.3">
      <c r="A17" s="13" t="s">
        <v>91</v>
      </c>
      <c r="B17" s="13" t="s">
        <v>92</v>
      </c>
      <c r="C17" s="13" t="s">
        <v>93</v>
      </c>
      <c r="D17" s="14" t="s">
        <v>54</v>
      </c>
      <c r="E17" s="13" t="s">
        <v>94</v>
      </c>
      <c r="F17" s="13">
        <f>COUNTIF('API Test Cases'!$B$5:$B$215,A17)</f>
        <v>5</v>
      </c>
      <c r="G17" s="13">
        <f>COUNTIFS('API Test Cases'!$B$5:$B$215,A17,'API Test Cases'!$M$5:$M$215,"Pass")</f>
        <v>5</v>
      </c>
      <c r="H17" s="13">
        <f>COUNTIFS('API Test Cases'!$B$5:$B$215,A17,'API Test Cases'!$M$5:$M$215,"Fail")</f>
        <v>0</v>
      </c>
    </row>
    <row r="18" spans="1:8" ht="70.5" customHeight="1" x14ac:dyDescent="0.3">
      <c r="A18" s="13" t="s">
        <v>95</v>
      </c>
      <c r="B18" s="13" t="s">
        <v>92</v>
      </c>
      <c r="C18" s="13" t="s">
        <v>96</v>
      </c>
      <c r="D18" s="13" t="s">
        <v>58</v>
      </c>
      <c r="E18" s="13" t="s">
        <v>97</v>
      </c>
      <c r="F18" s="13">
        <f>COUNTIF('API Test Cases'!$B$5:$B$215,A18)</f>
        <v>7</v>
      </c>
      <c r="G18" s="13">
        <f>COUNTIFS('API Test Cases'!$B$5:$B$215,A18,'API Test Cases'!$M$5:$M$215,"Pass")</f>
        <v>7</v>
      </c>
      <c r="H18" s="13">
        <f>COUNTIFS('API Test Cases'!$B$5:$B$215,A18,'API Test Cases'!$M$5:$M$215,"Fail")</f>
        <v>0</v>
      </c>
    </row>
    <row r="19" spans="1:8" ht="70.5" customHeight="1" x14ac:dyDescent="0.3">
      <c r="A19" s="13" t="s">
        <v>98</v>
      </c>
      <c r="B19" s="13" t="s">
        <v>92</v>
      </c>
      <c r="C19" s="13" t="s">
        <v>99</v>
      </c>
      <c r="D19" s="13" t="s">
        <v>58</v>
      </c>
      <c r="E19" s="13" t="s">
        <v>100</v>
      </c>
      <c r="F19" s="13">
        <f>COUNTIF('API Test Cases'!$B$5:$B$215,A19)</f>
        <v>9</v>
      </c>
      <c r="G19" s="13">
        <f>COUNTIFS('API Test Cases'!$B$5:$B$215,A19,'API Test Cases'!$M$5:$M$215,"Pass")</f>
        <v>9</v>
      </c>
      <c r="H19" s="13">
        <f>COUNTIFS('API Test Cases'!$B$5:$B$215,A19,'API Test Cases'!$M$5:$M$215,"Fail")</f>
        <v>0</v>
      </c>
    </row>
    <row r="20" spans="1:8" ht="70.5" customHeight="1" x14ac:dyDescent="0.3">
      <c r="A20" s="13" t="s">
        <v>101</v>
      </c>
      <c r="B20" s="13" t="s">
        <v>92</v>
      </c>
      <c r="C20" s="13" t="s">
        <v>102</v>
      </c>
      <c r="D20" s="14" t="s">
        <v>54</v>
      </c>
      <c r="E20" s="13" t="s">
        <v>103</v>
      </c>
      <c r="F20" s="13">
        <f>COUNTIF('API Test Cases'!$B$5:$B$215,A20)</f>
        <v>6</v>
      </c>
      <c r="G20" s="13">
        <f>COUNTIFS('API Test Cases'!$B$5:$B$215,A20,'API Test Cases'!$M$5:$M$215,"Pass")</f>
        <v>6</v>
      </c>
      <c r="H20" s="13">
        <f>COUNTIFS('API Test Cases'!$B$5:$B$215,A20,'API Test Cases'!$M$5:$M$215,"Fail")</f>
        <v>0</v>
      </c>
    </row>
    <row r="21" spans="1:8" ht="70.5" customHeight="1" x14ac:dyDescent="0.3">
      <c r="A21" s="13" t="s">
        <v>104</v>
      </c>
      <c r="B21" s="13" t="s">
        <v>105</v>
      </c>
      <c r="C21" s="13" t="s">
        <v>106</v>
      </c>
      <c r="D21" s="13" t="s">
        <v>58</v>
      </c>
      <c r="E21" s="13" t="s">
        <v>107</v>
      </c>
      <c r="F21" s="13">
        <f>COUNTIF('API Test Cases'!$B$5:$B$215,A21)</f>
        <v>5</v>
      </c>
      <c r="G21" s="13">
        <f>COUNTIFS('API Test Cases'!$B$5:$B$215,A21,'API Test Cases'!$M$5:$M$215,"Pass")</f>
        <v>5</v>
      </c>
      <c r="H21" s="13">
        <f>COUNTIFS('API Test Cases'!$B$5:$B$215,A21,'API Test Cases'!$M$5:$M$215,"Fail")</f>
        <v>0</v>
      </c>
    </row>
    <row r="22" spans="1:8" ht="70.5" customHeight="1" x14ac:dyDescent="0.3">
      <c r="A22" s="13" t="s">
        <v>108</v>
      </c>
      <c r="B22" s="13" t="s">
        <v>109</v>
      </c>
      <c r="C22" s="13" t="s">
        <v>110</v>
      </c>
      <c r="D22" s="14" t="s">
        <v>54</v>
      </c>
      <c r="E22" s="13" t="s">
        <v>111</v>
      </c>
      <c r="F22" s="13">
        <f>COUNTIF('API Test Cases'!$B$5:$B$215,A22)</f>
        <v>9</v>
      </c>
      <c r="G22" s="13">
        <f>COUNTIFS('API Test Cases'!$B$5:$B$215,A22,'API Test Cases'!$M$5:$M$215,"Pass")</f>
        <v>9</v>
      </c>
      <c r="H22" s="13">
        <f>COUNTIFS('API Test Cases'!$B$5:$B$215,A22,'API Test Cases'!$M$5:$M$215,"Fail")</f>
        <v>0</v>
      </c>
    </row>
    <row r="23" spans="1:8" ht="70.5" customHeight="1" x14ac:dyDescent="0.3">
      <c r="A23" s="13" t="s">
        <v>112</v>
      </c>
      <c r="B23" s="13" t="s">
        <v>109</v>
      </c>
      <c r="C23" s="13" t="s">
        <v>113</v>
      </c>
      <c r="D23" s="13" t="s">
        <v>58</v>
      </c>
      <c r="E23" s="13" t="s">
        <v>114</v>
      </c>
      <c r="F23" s="13">
        <f>COUNTIF('API Test Cases'!$B$5:$B$215,A23)</f>
        <v>6</v>
      </c>
      <c r="G23" s="13">
        <f>COUNTIFS('API Test Cases'!$B$5:$B$215,A23,'API Test Cases'!$M$5:$M$215,"Pass")</f>
        <v>6</v>
      </c>
      <c r="H23" s="13">
        <f>COUNTIFS('API Test Cases'!$B$5:$B$215,A23,'API Test Cases'!$M$5:$M$215,"Fail")</f>
        <v>0</v>
      </c>
    </row>
    <row r="24" spans="1:8" ht="70.5" customHeight="1" x14ac:dyDescent="0.3">
      <c r="A24" s="13" t="s">
        <v>115</v>
      </c>
      <c r="B24" s="13" t="s">
        <v>109</v>
      </c>
      <c r="C24" s="13" t="s">
        <v>116</v>
      </c>
      <c r="D24" s="13" t="s">
        <v>58</v>
      </c>
      <c r="E24" s="13" t="s">
        <v>117</v>
      </c>
      <c r="F24" s="13">
        <f>COUNTIF('API Test Cases'!$B$5:$B$215,A24)</f>
        <v>6</v>
      </c>
      <c r="G24" s="13">
        <f>COUNTIFS('API Test Cases'!$B$5:$B$215,A24,'API Test Cases'!$M$5:$M$215,"Pass")</f>
        <v>6</v>
      </c>
      <c r="H24" s="13">
        <f>COUNTIFS('API Test Cases'!$B$5:$B$215,A24,'API Test Cases'!$M$5:$M$215,"Fail")</f>
        <v>0</v>
      </c>
    </row>
    <row r="25" spans="1:8" ht="70.5" customHeight="1" x14ac:dyDescent="0.3">
      <c r="A25" s="13" t="s">
        <v>118</v>
      </c>
      <c r="B25" s="13" t="s">
        <v>119</v>
      </c>
      <c r="C25" s="13" t="s">
        <v>120</v>
      </c>
      <c r="D25" s="13" t="s">
        <v>58</v>
      </c>
      <c r="E25" s="13" t="s">
        <v>121</v>
      </c>
      <c r="F25" s="13">
        <f>COUNTIF('API Test Cases'!$B$5:$B$215,A25)</f>
        <v>10</v>
      </c>
      <c r="G25" s="13">
        <f>COUNTIFS('API Test Cases'!$B$5:$B$215,A25,'API Test Cases'!$M$5:$M$215,"Pass")</f>
        <v>10</v>
      </c>
      <c r="H25" s="13">
        <f>COUNTIFS('API Test Cases'!$B$5:$B$215,A25,'API Test Cases'!$M$5:$M$215,"Fail")</f>
        <v>0</v>
      </c>
    </row>
    <row r="26" spans="1:8" ht="70.5" customHeight="1" x14ac:dyDescent="0.3">
      <c r="A26" s="13" t="s">
        <v>122</v>
      </c>
      <c r="B26" s="13" t="s">
        <v>123</v>
      </c>
      <c r="C26" s="13" t="s">
        <v>124</v>
      </c>
      <c r="D26" s="13" t="s">
        <v>58</v>
      </c>
      <c r="E26" s="13" t="s">
        <v>125</v>
      </c>
      <c r="F26" s="13">
        <f>COUNTIF('API Test Cases'!$B$5:$B$215,A26)</f>
        <v>9</v>
      </c>
      <c r="G26" s="13">
        <f>COUNTIFS('API Test Cases'!$B$5:$B$215,A26,'API Test Cases'!$M$5:$M$215,"Pass")</f>
        <v>9</v>
      </c>
      <c r="H26" s="13">
        <f>COUNTIFS('API Test Cases'!$B$5:$B$215,A26,'API Test Cases'!$M$5:$M$215,"Fail")</f>
        <v>0</v>
      </c>
    </row>
    <row r="27" spans="1:8" ht="70.5" customHeight="1" x14ac:dyDescent="0.3">
      <c r="A27" s="13" t="s">
        <v>126</v>
      </c>
      <c r="B27" s="13" t="s">
        <v>127</v>
      </c>
      <c r="C27" s="13" t="s">
        <v>128</v>
      </c>
      <c r="D27" s="14" t="s">
        <v>54</v>
      </c>
      <c r="E27" s="13" t="s">
        <v>129</v>
      </c>
      <c r="F27" s="13">
        <f>COUNTIF('API Test Cases'!$B$5:$B$215,A27)</f>
        <v>7</v>
      </c>
      <c r="G27" s="13">
        <f>COUNTIFS('API Test Cases'!$B$5:$B$215,A27,'API Test Cases'!$M$5:$M$215,"Pass")</f>
        <v>7</v>
      </c>
      <c r="H27" s="13">
        <f>COUNTIFS('API Test Cases'!$B$5:$B$215,A27,'API Test Cases'!$M$5:$M$215,"Fail")</f>
        <v>0</v>
      </c>
    </row>
    <row r="28" spans="1:8" ht="70.5" customHeight="1" x14ac:dyDescent="0.3">
      <c r="A28" s="13" t="s">
        <v>130</v>
      </c>
      <c r="B28" s="13" t="s">
        <v>127</v>
      </c>
      <c r="C28" s="13" t="s">
        <v>131</v>
      </c>
      <c r="D28" s="14" t="s">
        <v>54</v>
      </c>
      <c r="E28" s="13" t="s">
        <v>132</v>
      </c>
      <c r="F28" s="13">
        <f>COUNTIF('API Test Cases'!$B$5:$B$215,A28)</f>
        <v>8</v>
      </c>
      <c r="G28" s="13">
        <f>COUNTIFS('API Test Cases'!$B$5:$B$215,A28,'API Test Cases'!$M$5:$M$215,"Pass")</f>
        <v>8</v>
      </c>
      <c r="H28" s="13">
        <f>COUNTIFS('API Test Cases'!$B$5:$B$215,A28,'API Test Cases'!$M$5:$M$215,"Fail")</f>
        <v>0</v>
      </c>
    </row>
    <row r="29" spans="1:8" ht="70.5" customHeight="1" x14ac:dyDescent="0.3">
      <c r="A29" s="13" t="s">
        <v>133</v>
      </c>
      <c r="B29" s="13" t="s">
        <v>127</v>
      </c>
      <c r="C29" s="13" t="s">
        <v>134</v>
      </c>
      <c r="D29" s="14" t="s">
        <v>54</v>
      </c>
      <c r="E29" s="13" t="s">
        <v>135</v>
      </c>
      <c r="F29" s="13">
        <f>COUNTIF('API Test Cases'!$B$5:$B$215,A29)</f>
        <v>9</v>
      </c>
      <c r="G29" s="13">
        <f>COUNTIFS('API Test Cases'!$B$5:$B$215,A29,'API Test Cases'!$M$5:$M$215,"Pass")</f>
        <v>9</v>
      </c>
      <c r="H29" s="13">
        <f>COUNTIFS('API Test Cases'!$B$5:$B$215,A29,'API Test Cases'!$M$5:$M$215,"Fail")</f>
        <v>0</v>
      </c>
    </row>
    <row r="30" spans="1:8" ht="70.5" customHeight="1" x14ac:dyDescent="0.3">
      <c r="A30" s="13" t="s">
        <v>136</v>
      </c>
      <c r="B30" s="13" t="s">
        <v>127</v>
      </c>
      <c r="C30" s="13" t="s">
        <v>137</v>
      </c>
      <c r="D30" s="13" t="s">
        <v>58</v>
      </c>
      <c r="E30" s="13" t="s">
        <v>138</v>
      </c>
      <c r="F30" s="13">
        <f>COUNTIF('API Test Cases'!$B$5:$B$215,A30)</f>
        <v>8</v>
      </c>
      <c r="G30" s="13">
        <f>COUNTIFS('API Test Cases'!$B$5:$B$215,A30,'API Test Cases'!$M$5:$M$215,"Pass")</f>
        <v>8</v>
      </c>
      <c r="H30" s="13">
        <f>COUNTIFS('API Test Cases'!$B$5:$B$215,A30,'API Test Cases'!$M$5:$M$215,"Fail")</f>
        <v>0</v>
      </c>
    </row>
    <row r="31" spans="1:8" ht="70.5" customHeight="1" x14ac:dyDescent="0.3">
      <c r="A31" s="13" t="s">
        <v>139</v>
      </c>
      <c r="B31" s="13" t="s">
        <v>127</v>
      </c>
      <c r="C31" s="13" t="s">
        <v>140</v>
      </c>
      <c r="D31" s="14" t="s">
        <v>54</v>
      </c>
      <c r="E31" s="13" t="s">
        <v>141</v>
      </c>
      <c r="F31" s="13">
        <f>COUNTIF('API Test Cases'!$B$5:$B$215,A31)</f>
        <v>9</v>
      </c>
      <c r="G31" s="13">
        <f>COUNTIFS('API Test Cases'!$B$5:$B$215,A31,'API Test Cases'!$M$5:$M$215,"Pass")</f>
        <v>9</v>
      </c>
      <c r="H31" s="13">
        <f>COUNTIFS('API Test Cases'!$B$5:$B$215,A31,'API Test Cases'!$M$5:$M$215,"Fail")</f>
        <v>0</v>
      </c>
    </row>
    <row r="32" spans="1:8" ht="70.5" customHeight="1" x14ac:dyDescent="0.3">
      <c r="A32" s="13" t="s">
        <v>142</v>
      </c>
      <c r="B32" s="13" t="s">
        <v>143</v>
      </c>
      <c r="C32" s="13" t="s">
        <v>144</v>
      </c>
      <c r="D32" s="13" t="s">
        <v>58</v>
      </c>
      <c r="E32" s="13" t="s">
        <v>145</v>
      </c>
      <c r="F32" s="13">
        <f>COUNTIF('API Test Cases'!$B$5:$B$215,A32)</f>
        <v>9</v>
      </c>
      <c r="G32" s="13">
        <f>COUNTIFS('API Test Cases'!$B$5:$B$215,A32,'API Test Cases'!$M$5:$M$215,"Pass")</f>
        <v>9</v>
      </c>
      <c r="H32" s="13">
        <f>COUNTIFS('API Test Cases'!$B$5:$B$215,A32,'API Test Cases'!$M$5:$M$215,"Fail")</f>
        <v>0</v>
      </c>
    </row>
    <row r="33" spans="1:8" ht="70.5" customHeight="1" x14ac:dyDescent="0.3">
      <c r="A33" s="13" t="s">
        <v>146</v>
      </c>
      <c r="B33" s="13" t="s">
        <v>143</v>
      </c>
      <c r="C33" s="13" t="s">
        <v>147</v>
      </c>
      <c r="D33" s="13" t="s">
        <v>58</v>
      </c>
      <c r="E33" s="13" t="s">
        <v>148</v>
      </c>
      <c r="F33" s="13">
        <f>COUNTIF('API Test Cases'!$B$5:$B$215,A33)</f>
        <v>10</v>
      </c>
      <c r="G33" s="13">
        <f>COUNTIFS('API Test Cases'!$B$5:$B$215,A33,'API Test Cases'!$M$5:$M$215,"Pass")</f>
        <v>10</v>
      </c>
      <c r="H33" s="13">
        <f>COUNTIFS('API Test Cases'!$B$5:$B$215,A33,'API Test Cases'!$M$5:$M$215,"Fail")</f>
        <v>0</v>
      </c>
    </row>
    <row r="34" spans="1:8" ht="35.25" customHeight="1" x14ac:dyDescent="0.3">
      <c r="A34" s="15" t="s">
        <v>149</v>
      </c>
      <c r="B34" s="16"/>
      <c r="C34" s="16"/>
      <c r="D34" s="16"/>
      <c r="E34" s="16"/>
      <c r="F34" s="15">
        <f>SUM(F5:F33)</f>
        <v>211</v>
      </c>
      <c r="G34" s="15">
        <f>SUM(G5:G33)</f>
        <v>211</v>
      </c>
      <c r="H34" s="15">
        <f>SUM(H5:H33)</f>
        <v>0</v>
      </c>
    </row>
  </sheetData>
  <autoFilter ref="A4:H34" xr:uid="{00000000-0009-0000-0000-000001000000}"/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5"/>
  <sheetViews>
    <sheetView tabSelected="1" zoomScaleNormal="100" workbookViewId="0">
      <pane xSplit="1" ySplit="4" topLeftCell="B147" activePane="bottomRight" state="frozen"/>
      <selection pane="topRight" activeCell="B1" sqref="B1"/>
      <selection pane="bottomLeft" activeCell="A6" sqref="A6"/>
      <selection pane="bottomRight" activeCell="D147" sqref="D147"/>
    </sheetView>
  </sheetViews>
  <sheetFormatPr defaultColWidth="8.6640625" defaultRowHeight="14.4" x14ac:dyDescent="0.3"/>
  <cols>
    <col min="1" max="1" width="25.33203125" customWidth="1"/>
    <col min="2" max="2" width="17.44140625" customWidth="1"/>
    <col min="3" max="3" width="23.6640625" customWidth="1"/>
    <col min="4" max="4" width="42" customWidth="1"/>
    <col min="5" max="5" width="20.5546875" customWidth="1"/>
    <col min="6" max="6" width="18" customWidth="1"/>
    <col min="7" max="7" width="22" customWidth="1"/>
    <col min="8" max="8" width="30" customWidth="1"/>
    <col min="9" max="9" width="52" customWidth="1"/>
    <col min="10" max="10" width="42" customWidth="1"/>
    <col min="11" max="11" width="52" customWidth="1"/>
    <col min="12" max="12" width="34" customWidth="1"/>
    <col min="13" max="13" width="10" customWidth="1"/>
    <col min="14" max="14" width="11" customWidth="1"/>
    <col min="15" max="15" width="30" customWidth="1"/>
    <col min="16" max="16" width="10" customWidth="1"/>
    <col min="17" max="17" width="8" customWidth="1"/>
    <col min="18" max="18" width="10" customWidth="1"/>
    <col min="19" max="19" width="14" customWidth="1"/>
    <col min="20" max="20" width="40" customWidth="1"/>
  </cols>
  <sheetData>
    <row r="1" spans="1:20" ht="32.25" customHeight="1" x14ac:dyDescent="0.3">
      <c r="A1" s="1" t="s">
        <v>150</v>
      </c>
      <c r="B1" s="1"/>
      <c r="C1" s="1"/>
      <c r="D1" s="17"/>
    </row>
    <row r="2" spans="1:20" ht="4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20" ht="54.75" customHeight="1" x14ac:dyDescent="0.3">
      <c r="A4" s="18" t="s">
        <v>151</v>
      </c>
      <c r="B4" s="18" t="s">
        <v>44</v>
      </c>
      <c r="C4" s="18" t="s">
        <v>45</v>
      </c>
      <c r="D4" s="18" t="s">
        <v>152</v>
      </c>
      <c r="E4" s="18" t="s">
        <v>18</v>
      </c>
      <c r="F4" s="18" t="s">
        <v>153</v>
      </c>
      <c r="G4" s="18" t="s">
        <v>154</v>
      </c>
      <c r="H4" s="18" t="s">
        <v>155</v>
      </c>
      <c r="I4" s="18" t="s">
        <v>156</v>
      </c>
      <c r="J4" s="18" t="s">
        <v>27</v>
      </c>
      <c r="K4" s="18" t="s">
        <v>157</v>
      </c>
      <c r="L4" s="18" t="s">
        <v>158</v>
      </c>
      <c r="M4" s="18" t="s">
        <v>159</v>
      </c>
      <c r="N4" s="18" t="s">
        <v>160</v>
      </c>
      <c r="O4" s="18" t="s">
        <v>161</v>
      </c>
      <c r="P4" s="18" t="s">
        <v>162</v>
      </c>
      <c r="Q4" s="18" t="s">
        <v>163</v>
      </c>
      <c r="R4" s="18" t="s">
        <v>164</v>
      </c>
      <c r="S4" s="18" t="s">
        <v>165</v>
      </c>
      <c r="T4" s="18" t="s">
        <v>166</v>
      </c>
    </row>
    <row r="5" spans="1:20" ht="135.75" customHeight="1" x14ac:dyDescent="0.3">
      <c r="A5" s="13" t="s">
        <v>167</v>
      </c>
      <c r="B5" s="13" t="s">
        <v>51</v>
      </c>
      <c r="C5" s="13" t="s">
        <v>52</v>
      </c>
      <c r="D5" s="13" t="s">
        <v>168</v>
      </c>
      <c r="E5" s="14" t="s">
        <v>54</v>
      </c>
      <c r="F5" s="13" t="s">
        <v>169</v>
      </c>
      <c r="G5" s="13" t="s">
        <v>170</v>
      </c>
      <c r="H5" s="13" t="s">
        <v>171</v>
      </c>
      <c r="I5" s="13" t="s">
        <v>172</v>
      </c>
      <c r="J5" s="13" t="s">
        <v>173</v>
      </c>
      <c r="K5" s="13" t="s">
        <v>174</v>
      </c>
      <c r="L5" s="13" t="s">
        <v>175</v>
      </c>
      <c r="M5" s="13" t="s">
        <v>49</v>
      </c>
      <c r="N5" s="13" t="s">
        <v>176</v>
      </c>
      <c r="O5" s="13" t="s">
        <v>177</v>
      </c>
      <c r="P5" s="13" t="s">
        <v>178</v>
      </c>
      <c r="Q5" s="13" t="s">
        <v>178</v>
      </c>
      <c r="R5" s="13"/>
      <c r="S5" s="13" t="s">
        <v>179</v>
      </c>
      <c r="T5" s="13" t="s">
        <v>180</v>
      </c>
    </row>
    <row r="6" spans="1:20" ht="108.75" customHeight="1" x14ac:dyDescent="0.3">
      <c r="A6" s="13" t="s">
        <v>181</v>
      </c>
      <c r="B6" s="13" t="s">
        <v>51</v>
      </c>
      <c r="C6" s="13" t="s">
        <v>52</v>
      </c>
      <c r="D6" s="13" t="s">
        <v>182</v>
      </c>
      <c r="E6" s="14" t="s">
        <v>54</v>
      </c>
      <c r="F6" s="13" t="s">
        <v>169</v>
      </c>
      <c r="G6" s="13" t="s">
        <v>183</v>
      </c>
      <c r="H6" s="13" t="s">
        <v>171</v>
      </c>
      <c r="I6" s="13" t="s">
        <v>184</v>
      </c>
      <c r="J6" s="13" t="s">
        <v>185</v>
      </c>
      <c r="K6" s="13" t="s">
        <v>186</v>
      </c>
      <c r="L6" s="13" t="s">
        <v>187</v>
      </c>
      <c r="M6" s="13" t="s">
        <v>49</v>
      </c>
      <c r="N6" s="13" t="s">
        <v>176</v>
      </c>
      <c r="O6" s="13" t="s">
        <v>177</v>
      </c>
      <c r="P6" s="13" t="s">
        <v>178</v>
      </c>
      <c r="Q6" s="13" t="s">
        <v>188</v>
      </c>
      <c r="R6" s="13"/>
      <c r="S6" s="13" t="s">
        <v>189</v>
      </c>
      <c r="T6" s="13" t="s">
        <v>180</v>
      </c>
    </row>
    <row r="7" spans="1:20" ht="108.75" customHeight="1" x14ac:dyDescent="0.3">
      <c r="A7" s="13" t="s">
        <v>190</v>
      </c>
      <c r="B7" s="13" t="s">
        <v>51</v>
      </c>
      <c r="C7" s="13" t="s">
        <v>52</v>
      </c>
      <c r="D7" s="13" t="s">
        <v>191</v>
      </c>
      <c r="E7" s="13" t="s">
        <v>58</v>
      </c>
      <c r="F7" s="13" t="s">
        <v>169</v>
      </c>
      <c r="G7" s="13" t="s">
        <v>183</v>
      </c>
      <c r="H7" s="13" t="s">
        <v>171</v>
      </c>
      <c r="I7" s="13" t="s">
        <v>184</v>
      </c>
      <c r="J7" s="13" t="s">
        <v>192</v>
      </c>
      <c r="K7" s="13" t="s">
        <v>193</v>
      </c>
      <c r="L7" s="13" t="s">
        <v>194</v>
      </c>
      <c r="M7" s="13" t="s">
        <v>49</v>
      </c>
      <c r="N7" s="13" t="s">
        <v>176</v>
      </c>
      <c r="O7" s="13" t="s">
        <v>195</v>
      </c>
      <c r="P7" s="13" t="s">
        <v>178</v>
      </c>
      <c r="Q7" s="13" t="s">
        <v>188</v>
      </c>
      <c r="R7" s="13"/>
      <c r="S7" s="13" t="s">
        <v>196</v>
      </c>
      <c r="T7" s="13" t="s">
        <v>180</v>
      </c>
    </row>
    <row r="8" spans="1:20" ht="108.75" customHeight="1" x14ac:dyDescent="0.3">
      <c r="A8" s="13" t="s">
        <v>197</v>
      </c>
      <c r="B8" s="13" t="s">
        <v>51</v>
      </c>
      <c r="C8" s="13" t="s">
        <v>52</v>
      </c>
      <c r="D8" s="13" t="s">
        <v>198</v>
      </c>
      <c r="E8" s="13" t="s">
        <v>58</v>
      </c>
      <c r="F8" s="13" t="s">
        <v>169</v>
      </c>
      <c r="G8" s="13" t="s">
        <v>199</v>
      </c>
      <c r="H8" s="13" t="s">
        <v>171</v>
      </c>
      <c r="I8" s="13" t="s">
        <v>184</v>
      </c>
      <c r="J8" s="13" t="s">
        <v>200</v>
      </c>
      <c r="K8" s="13" t="s">
        <v>201</v>
      </c>
      <c r="L8" s="13" t="s">
        <v>202</v>
      </c>
      <c r="M8" s="13" t="s">
        <v>49</v>
      </c>
      <c r="N8" s="13" t="s">
        <v>176</v>
      </c>
      <c r="O8" s="13" t="s">
        <v>177</v>
      </c>
      <c r="P8" s="13" t="s">
        <v>178</v>
      </c>
      <c r="Q8" s="13" t="s">
        <v>188</v>
      </c>
      <c r="R8" s="13"/>
      <c r="S8" s="13" t="s">
        <v>203</v>
      </c>
      <c r="T8" s="13" t="s">
        <v>180</v>
      </c>
    </row>
    <row r="9" spans="1:20" ht="108.75" customHeight="1" x14ac:dyDescent="0.3">
      <c r="A9" s="13" t="s">
        <v>204</v>
      </c>
      <c r="B9" s="13" t="s">
        <v>51</v>
      </c>
      <c r="C9" s="13" t="s">
        <v>52</v>
      </c>
      <c r="D9" s="13" t="s">
        <v>205</v>
      </c>
      <c r="E9" s="13" t="s">
        <v>58</v>
      </c>
      <c r="F9" s="13" t="s">
        <v>169</v>
      </c>
      <c r="G9" s="13" t="s">
        <v>206</v>
      </c>
      <c r="H9" s="13" t="s">
        <v>171</v>
      </c>
      <c r="I9" s="13" t="s">
        <v>207</v>
      </c>
      <c r="J9" s="13" t="s">
        <v>208</v>
      </c>
      <c r="K9" s="13" t="s">
        <v>209</v>
      </c>
      <c r="L9" s="13" t="s">
        <v>210</v>
      </c>
      <c r="M9" s="13" t="s">
        <v>49</v>
      </c>
      <c r="N9" s="13" t="s">
        <v>176</v>
      </c>
      <c r="O9" s="13" t="s">
        <v>177</v>
      </c>
      <c r="P9" s="13" t="s">
        <v>178</v>
      </c>
      <c r="Q9" s="13" t="s">
        <v>188</v>
      </c>
      <c r="R9" s="13"/>
      <c r="S9" s="13" t="s">
        <v>211</v>
      </c>
      <c r="T9" s="13" t="s">
        <v>180</v>
      </c>
    </row>
    <row r="10" spans="1:20" ht="108.75" customHeight="1" x14ac:dyDescent="0.3">
      <c r="A10" s="13" t="s">
        <v>212</v>
      </c>
      <c r="B10" s="13" t="s">
        <v>56</v>
      </c>
      <c r="C10" s="13" t="s">
        <v>52</v>
      </c>
      <c r="D10" s="13" t="s">
        <v>213</v>
      </c>
      <c r="E10" s="13" t="s">
        <v>58</v>
      </c>
      <c r="F10" s="13" t="s">
        <v>214</v>
      </c>
      <c r="G10" s="13" t="s">
        <v>215</v>
      </c>
      <c r="H10" s="13" t="s">
        <v>171</v>
      </c>
      <c r="I10" s="13" t="s">
        <v>184</v>
      </c>
      <c r="J10" s="13" t="s">
        <v>216</v>
      </c>
      <c r="K10" s="13" t="s">
        <v>217</v>
      </c>
      <c r="L10" s="13" t="s">
        <v>218</v>
      </c>
      <c r="M10" s="13" t="s">
        <v>49</v>
      </c>
      <c r="N10" s="13" t="s">
        <v>176</v>
      </c>
      <c r="O10" s="13" t="s">
        <v>219</v>
      </c>
      <c r="P10" s="13" t="s">
        <v>178</v>
      </c>
      <c r="Q10" s="13" t="s">
        <v>188</v>
      </c>
      <c r="R10" s="13"/>
      <c r="S10" s="13" t="s">
        <v>220</v>
      </c>
      <c r="T10" s="13" t="s">
        <v>180</v>
      </c>
    </row>
    <row r="11" spans="1:20" ht="108.75" customHeight="1" x14ac:dyDescent="0.3">
      <c r="A11" s="13" t="s">
        <v>221</v>
      </c>
      <c r="B11" s="13" t="s">
        <v>56</v>
      </c>
      <c r="C11" s="13" t="s">
        <v>52</v>
      </c>
      <c r="D11" s="13" t="s">
        <v>222</v>
      </c>
      <c r="E11" s="13" t="s">
        <v>58</v>
      </c>
      <c r="F11" s="13" t="s">
        <v>214</v>
      </c>
      <c r="G11" s="13" t="s">
        <v>223</v>
      </c>
      <c r="H11" s="13" t="s">
        <v>171</v>
      </c>
      <c r="I11" s="13" t="s">
        <v>184</v>
      </c>
      <c r="J11" s="13" t="s">
        <v>224</v>
      </c>
      <c r="K11" s="13" t="s">
        <v>217</v>
      </c>
      <c r="L11" s="13" t="s">
        <v>218</v>
      </c>
      <c r="M11" s="13" t="s">
        <v>49</v>
      </c>
      <c r="N11" s="13" t="s">
        <v>176</v>
      </c>
      <c r="O11" s="13" t="s">
        <v>219</v>
      </c>
      <c r="P11" s="13" t="s">
        <v>178</v>
      </c>
      <c r="Q11" s="13" t="s">
        <v>188</v>
      </c>
      <c r="R11" s="13"/>
      <c r="S11" s="13" t="s">
        <v>220</v>
      </c>
      <c r="T11" s="13" t="s">
        <v>180</v>
      </c>
    </row>
    <row r="12" spans="1:20" ht="108.75" customHeight="1" x14ac:dyDescent="0.3">
      <c r="A12" s="13" t="s">
        <v>225</v>
      </c>
      <c r="B12" s="13" t="s">
        <v>56</v>
      </c>
      <c r="C12" s="13" t="s">
        <v>52</v>
      </c>
      <c r="D12" s="13" t="s">
        <v>226</v>
      </c>
      <c r="E12" s="13" t="s">
        <v>58</v>
      </c>
      <c r="F12" s="13" t="s">
        <v>214</v>
      </c>
      <c r="G12" s="13" t="s">
        <v>227</v>
      </c>
      <c r="H12" s="13" t="s">
        <v>171</v>
      </c>
      <c r="I12" s="13" t="s">
        <v>184</v>
      </c>
      <c r="J12" s="13" t="s">
        <v>228</v>
      </c>
      <c r="K12" s="13" t="s">
        <v>229</v>
      </c>
      <c r="L12" s="13" t="s">
        <v>230</v>
      </c>
      <c r="M12" s="13" t="s">
        <v>49</v>
      </c>
      <c r="N12" s="13" t="s">
        <v>176</v>
      </c>
      <c r="O12" s="13" t="s">
        <v>219</v>
      </c>
      <c r="P12" s="13" t="s">
        <v>178</v>
      </c>
      <c r="Q12" s="13" t="s">
        <v>188</v>
      </c>
      <c r="R12" s="13"/>
      <c r="S12" s="13" t="s">
        <v>220</v>
      </c>
      <c r="T12" s="13" t="s">
        <v>180</v>
      </c>
    </row>
    <row r="13" spans="1:20" ht="108.75" customHeight="1" x14ac:dyDescent="0.3">
      <c r="A13" s="13" t="s">
        <v>231</v>
      </c>
      <c r="B13" s="13" t="s">
        <v>56</v>
      </c>
      <c r="C13" s="13" t="s">
        <v>52</v>
      </c>
      <c r="D13" s="13" t="s">
        <v>232</v>
      </c>
      <c r="E13" s="13" t="s">
        <v>58</v>
      </c>
      <c r="F13" s="13" t="s">
        <v>214</v>
      </c>
      <c r="G13" s="13" t="s">
        <v>233</v>
      </c>
      <c r="H13" s="13" t="s">
        <v>171</v>
      </c>
      <c r="I13" s="13" t="s">
        <v>184</v>
      </c>
      <c r="J13" s="13" t="s">
        <v>234</v>
      </c>
      <c r="K13" s="13" t="s">
        <v>229</v>
      </c>
      <c r="L13" s="13" t="s">
        <v>230</v>
      </c>
      <c r="M13" s="13" t="s">
        <v>49</v>
      </c>
      <c r="N13" s="13" t="s">
        <v>176</v>
      </c>
      <c r="O13" s="13" t="s">
        <v>219</v>
      </c>
      <c r="P13" s="13" t="s">
        <v>178</v>
      </c>
      <c r="Q13" s="13" t="s">
        <v>188</v>
      </c>
      <c r="R13" s="13"/>
      <c r="S13" s="13" t="s">
        <v>220</v>
      </c>
      <c r="T13" s="13" t="s">
        <v>180</v>
      </c>
    </row>
    <row r="14" spans="1:20" ht="108.75" customHeight="1" x14ac:dyDescent="0.3">
      <c r="A14" s="13" t="s">
        <v>235</v>
      </c>
      <c r="B14" s="13" t="s">
        <v>56</v>
      </c>
      <c r="C14" s="13" t="s">
        <v>52</v>
      </c>
      <c r="D14" s="13" t="s">
        <v>236</v>
      </c>
      <c r="E14" s="13" t="s">
        <v>237</v>
      </c>
      <c r="F14" s="13" t="s">
        <v>214</v>
      </c>
      <c r="G14" s="13" t="s">
        <v>238</v>
      </c>
      <c r="H14" s="13" t="s">
        <v>171</v>
      </c>
      <c r="I14" s="13" t="s">
        <v>184</v>
      </c>
      <c r="J14" s="13" t="s">
        <v>239</v>
      </c>
      <c r="K14" s="13" t="s">
        <v>240</v>
      </c>
      <c r="L14" s="13" t="s">
        <v>230</v>
      </c>
      <c r="M14" s="13" t="s">
        <v>49</v>
      </c>
      <c r="N14" s="13" t="s">
        <v>176</v>
      </c>
      <c r="O14" s="13" t="s">
        <v>219</v>
      </c>
      <c r="P14" s="13" t="s">
        <v>178</v>
      </c>
      <c r="Q14" s="13" t="s">
        <v>188</v>
      </c>
      <c r="R14" s="13"/>
      <c r="S14" s="13" t="s">
        <v>241</v>
      </c>
      <c r="T14" s="13" t="s">
        <v>180</v>
      </c>
    </row>
    <row r="15" spans="1:20" ht="108.75" customHeight="1" x14ac:dyDescent="0.3">
      <c r="A15" s="13" t="s">
        <v>242</v>
      </c>
      <c r="B15" s="13" t="s">
        <v>56</v>
      </c>
      <c r="C15" s="13" t="s">
        <v>52</v>
      </c>
      <c r="D15" s="13" t="s">
        <v>243</v>
      </c>
      <c r="E15" s="13" t="s">
        <v>58</v>
      </c>
      <c r="F15" s="13" t="s">
        <v>244</v>
      </c>
      <c r="G15" s="13" t="s">
        <v>245</v>
      </c>
      <c r="H15" s="13" t="s">
        <v>171</v>
      </c>
      <c r="I15" s="13" t="s">
        <v>184</v>
      </c>
      <c r="J15" s="13" t="s">
        <v>246</v>
      </c>
      <c r="K15" s="13" t="s">
        <v>247</v>
      </c>
      <c r="L15" s="13" t="s">
        <v>218</v>
      </c>
      <c r="M15" s="13" t="s">
        <v>49</v>
      </c>
      <c r="N15" s="13" t="s">
        <v>176</v>
      </c>
      <c r="O15" s="13" t="s">
        <v>177</v>
      </c>
      <c r="P15" s="13" t="s">
        <v>178</v>
      </c>
      <c r="Q15" s="13" t="s">
        <v>188</v>
      </c>
      <c r="R15" s="13"/>
      <c r="S15" s="13" t="s">
        <v>211</v>
      </c>
      <c r="T15" s="13" t="s">
        <v>180</v>
      </c>
    </row>
    <row r="16" spans="1:20" ht="108.75" customHeight="1" x14ac:dyDescent="0.3">
      <c r="A16" s="13" t="s">
        <v>248</v>
      </c>
      <c r="B16" s="13" t="s">
        <v>56</v>
      </c>
      <c r="C16" s="13" t="s">
        <v>52</v>
      </c>
      <c r="D16" s="13" t="s">
        <v>249</v>
      </c>
      <c r="E16" s="13" t="s">
        <v>58</v>
      </c>
      <c r="F16" s="13" t="s">
        <v>250</v>
      </c>
      <c r="G16" s="13" t="s">
        <v>251</v>
      </c>
      <c r="H16" s="13" t="s">
        <v>171</v>
      </c>
      <c r="I16" s="13" t="s">
        <v>184</v>
      </c>
      <c r="J16" s="13" t="s">
        <v>252</v>
      </c>
      <c r="K16" s="13" t="s">
        <v>229</v>
      </c>
      <c r="L16" s="13" t="s">
        <v>230</v>
      </c>
      <c r="M16" s="13" t="s">
        <v>49</v>
      </c>
      <c r="N16" s="13" t="s">
        <v>176</v>
      </c>
      <c r="O16" s="13" t="s">
        <v>177</v>
      </c>
      <c r="P16" s="13" t="s">
        <v>178</v>
      </c>
      <c r="Q16" s="13" t="s">
        <v>188</v>
      </c>
      <c r="R16" s="13"/>
      <c r="S16" s="13" t="s">
        <v>253</v>
      </c>
      <c r="T16" s="13" t="s">
        <v>180</v>
      </c>
    </row>
    <row r="17" spans="1:20" ht="108.75" customHeight="1" x14ac:dyDescent="0.3">
      <c r="A17" s="13" t="s">
        <v>254</v>
      </c>
      <c r="B17" s="13" t="s">
        <v>56</v>
      </c>
      <c r="C17" s="13" t="s">
        <v>52</v>
      </c>
      <c r="D17" s="13" t="s">
        <v>255</v>
      </c>
      <c r="E17" s="13" t="s">
        <v>58</v>
      </c>
      <c r="F17" s="13" t="s">
        <v>250</v>
      </c>
      <c r="G17" s="13" t="s">
        <v>251</v>
      </c>
      <c r="H17" s="13" t="s">
        <v>171</v>
      </c>
      <c r="I17" s="13" t="s">
        <v>184</v>
      </c>
      <c r="J17" s="13" t="s">
        <v>256</v>
      </c>
      <c r="K17" s="13" t="s">
        <v>229</v>
      </c>
      <c r="L17" s="13" t="s">
        <v>230</v>
      </c>
      <c r="M17" s="13" t="s">
        <v>49</v>
      </c>
      <c r="N17" s="13" t="s">
        <v>176</v>
      </c>
      <c r="O17" s="13" t="s">
        <v>177</v>
      </c>
      <c r="P17" s="13" t="s">
        <v>178</v>
      </c>
      <c r="Q17" s="13" t="s">
        <v>188</v>
      </c>
      <c r="R17" s="13"/>
      <c r="S17" s="13" t="s">
        <v>253</v>
      </c>
      <c r="T17" s="13" t="s">
        <v>180</v>
      </c>
    </row>
    <row r="18" spans="1:20" ht="108.75" customHeight="1" x14ac:dyDescent="0.3">
      <c r="A18" s="13" t="s">
        <v>257</v>
      </c>
      <c r="B18" s="13" t="s">
        <v>56</v>
      </c>
      <c r="C18" s="13" t="s">
        <v>52</v>
      </c>
      <c r="D18" s="13" t="s">
        <v>258</v>
      </c>
      <c r="E18" s="13" t="s">
        <v>237</v>
      </c>
      <c r="F18" s="13" t="s">
        <v>250</v>
      </c>
      <c r="G18" s="13" t="s">
        <v>251</v>
      </c>
      <c r="H18" s="13" t="s">
        <v>171</v>
      </c>
      <c r="I18" s="13" t="s">
        <v>184</v>
      </c>
      <c r="J18" s="13" t="s">
        <v>259</v>
      </c>
      <c r="K18" s="13" t="s">
        <v>229</v>
      </c>
      <c r="L18" s="13" t="s">
        <v>230</v>
      </c>
      <c r="M18" s="13" t="s">
        <v>49</v>
      </c>
      <c r="N18" s="13" t="s">
        <v>176</v>
      </c>
      <c r="O18" s="13" t="s">
        <v>177</v>
      </c>
      <c r="P18" s="13" t="s">
        <v>178</v>
      </c>
      <c r="Q18" s="13" t="s">
        <v>188</v>
      </c>
      <c r="R18" s="13"/>
      <c r="S18" s="13" t="s">
        <v>211</v>
      </c>
      <c r="T18" s="13" t="s">
        <v>180</v>
      </c>
    </row>
    <row r="19" spans="1:20" ht="108.75" customHeight="1" x14ac:dyDescent="0.3">
      <c r="A19" s="13" t="s">
        <v>260</v>
      </c>
      <c r="B19" s="13" t="s">
        <v>56</v>
      </c>
      <c r="C19" s="13" t="s">
        <v>52</v>
      </c>
      <c r="D19" s="13" t="s">
        <v>261</v>
      </c>
      <c r="E19" s="13" t="s">
        <v>58</v>
      </c>
      <c r="F19" s="13" t="s">
        <v>250</v>
      </c>
      <c r="G19" s="13" t="s">
        <v>262</v>
      </c>
      <c r="H19" s="13" t="s">
        <v>171</v>
      </c>
      <c r="I19" s="13" t="s">
        <v>184</v>
      </c>
      <c r="J19" s="13" t="s">
        <v>263</v>
      </c>
      <c r="K19" s="13" t="s">
        <v>229</v>
      </c>
      <c r="L19" s="13" t="s">
        <v>230</v>
      </c>
      <c r="M19" s="13" t="s">
        <v>49</v>
      </c>
      <c r="N19" s="13" t="s">
        <v>176</v>
      </c>
      <c r="O19" s="13" t="s">
        <v>177</v>
      </c>
      <c r="P19" s="13" t="s">
        <v>178</v>
      </c>
      <c r="Q19" s="13" t="s">
        <v>188</v>
      </c>
      <c r="R19" s="13"/>
      <c r="S19" s="13" t="s">
        <v>211</v>
      </c>
      <c r="T19" s="13" t="s">
        <v>180</v>
      </c>
    </row>
    <row r="20" spans="1:20" ht="108.75" customHeight="1" x14ac:dyDescent="0.3">
      <c r="A20" s="13" t="s">
        <v>264</v>
      </c>
      <c r="B20" s="13" t="s">
        <v>60</v>
      </c>
      <c r="C20" s="13" t="s">
        <v>52</v>
      </c>
      <c r="D20" s="13" t="s">
        <v>265</v>
      </c>
      <c r="E20" s="13" t="s">
        <v>58</v>
      </c>
      <c r="F20" s="13" t="s">
        <v>214</v>
      </c>
      <c r="G20" s="13" t="s">
        <v>266</v>
      </c>
      <c r="H20" s="13" t="s">
        <v>171</v>
      </c>
      <c r="I20" s="13" t="s">
        <v>184</v>
      </c>
      <c r="J20" s="13" t="s">
        <v>267</v>
      </c>
      <c r="K20" s="13" t="s">
        <v>268</v>
      </c>
      <c r="L20" s="13" t="s">
        <v>269</v>
      </c>
      <c r="M20" s="13" t="s">
        <v>49</v>
      </c>
      <c r="N20" s="13" t="s">
        <v>176</v>
      </c>
      <c r="O20" s="13" t="s">
        <v>219</v>
      </c>
      <c r="P20" s="13" t="s">
        <v>178</v>
      </c>
      <c r="Q20" s="13" t="s">
        <v>188</v>
      </c>
      <c r="R20" s="13"/>
      <c r="S20" s="13" t="s">
        <v>62</v>
      </c>
      <c r="T20" s="13" t="s">
        <v>180</v>
      </c>
    </row>
    <row r="21" spans="1:20" ht="108.75" customHeight="1" x14ac:dyDescent="0.3">
      <c r="A21" s="13" t="s">
        <v>270</v>
      </c>
      <c r="B21" s="13" t="s">
        <v>60</v>
      </c>
      <c r="C21" s="13" t="s">
        <v>52</v>
      </c>
      <c r="D21" s="13" t="s">
        <v>271</v>
      </c>
      <c r="E21" s="13" t="s">
        <v>58</v>
      </c>
      <c r="F21" s="13" t="s">
        <v>214</v>
      </c>
      <c r="G21" s="13" t="s">
        <v>272</v>
      </c>
      <c r="H21" s="13" t="s">
        <v>171</v>
      </c>
      <c r="I21" s="13" t="s">
        <v>184</v>
      </c>
      <c r="J21" s="13" t="s">
        <v>273</v>
      </c>
      <c r="K21" s="13" t="s">
        <v>268</v>
      </c>
      <c r="L21" s="13" t="s">
        <v>269</v>
      </c>
      <c r="M21" s="13" t="s">
        <v>49</v>
      </c>
      <c r="N21" s="13" t="s">
        <v>176</v>
      </c>
      <c r="O21" s="13" t="s">
        <v>219</v>
      </c>
      <c r="P21" s="13" t="s">
        <v>178</v>
      </c>
      <c r="Q21" s="13" t="s">
        <v>188</v>
      </c>
      <c r="R21" s="13"/>
      <c r="S21" s="13" t="s">
        <v>62</v>
      </c>
      <c r="T21" s="13" t="s">
        <v>180</v>
      </c>
    </row>
    <row r="22" spans="1:20" ht="108.75" customHeight="1" x14ac:dyDescent="0.3">
      <c r="A22" s="13" t="s">
        <v>274</v>
      </c>
      <c r="B22" s="13" t="s">
        <v>60</v>
      </c>
      <c r="C22" s="13" t="s">
        <v>52</v>
      </c>
      <c r="D22" s="13" t="s">
        <v>275</v>
      </c>
      <c r="E22" s="13" t="s">
        <v>58</v>
      </c>
      <c r="F22" s="13" t="s">
        <v>250</v>
      </c>
      <c r="G22" s="13" t="s">
        <v>276</v>
      </c>
      <c r="H22" s="13" t="s">
        <v>171</v>
      </c>
      <c r="I22" s="13" t="s">
        <v>184</v>
      </c>
      <c r="J22" s="13" t="s">
        <v>277</v>
      </c>
      <c r="K22" s="13" t="s">
        <v>278</v>
      </c>
      <c r="L22" s="13" t="s">
        <v>269</v>
      </c>
      <c r="M22" s="13" t="s">
        <v>49</v>
      </c>
      <c r="N22" s="13" t="s">
        <v>176</v>
      </c>
      <c r="O22" s="13" t="s">
        <v>177</v>
      </c>
      <c r="P22" s="13" t="s">
        <v>178</v>
      </c>
      <c r="Q22" s="13" t="s">
        <v>188</v>
      </c>
      <c r="R22" s="13"/>
      <c r="S22" s="13" t="s">
        <v>62</v>
      </c>
      <c r="T22" s="13" t="s">
        <v>180</v>
      </c>
    </row>
    <row r="23" spans="1:20" ht="108.75" customHeight="1" x14ac:dyDescent="0.3">
      <c r="A23" s="13" t="s">
        <v>279</v>
      </c>
      <c r="B23" s="13" t="s">
        <v>60</v>
      </c>
      <c r="C23" s="13" t="s">
        <v>52</v>
      </c>
      <c r="D23" s="13" t="s">
        <v>280</v>
      </c>
      <c r="E23" s="13" t="s">
        <v>237</v>
      </c>
      <c r="F23" s="13" t="s">
        <v>250</v>
      </c>
      <c r="G23" s="13" t="s">
        <v>281</v>
      </c>
      <c r="H23" s="13" t="s">
        <v>171</v>
      </c>
      <c r="I23" s="13" t="s">
        <v>184</v>
      </c>
      <c r="J23" s="13" t="s">
        <v>282</v>
      </c>
      <c r="K23" s="13" t="s">
        <v>283</v>
      </c>
      <c r="L23" s="13" t="s">
        <v>269</v>
      </c>
      <c r="M23" s="13" t="s">
        <v>49</v>
      </c>
      <c r="N23" s="13" t="s">
        <v>176</v>
      </c>
      <c r="O23" s="13" t="s">
        <v>177</v>
      </c>
      <c r="P23" s="13" t="s">
        <v>178</v>
      </c>
      <c r="Q23" s="13" t="s">
        <v>188</v>
      </c>
      <c r="R23" s="13"/>
      <c r="S23" s="13" t="s">
        <v>62</v>
      </c>
      <c r="T23" s="13" t="s">
        <v>180</v>
      </c>
    </row>
    <row r="24" spans="1:20" ht="108.75" customHeight="1" x14ac:dyDescent="0.3">
      <c r="A24" s="13" t="s">
        <v>284</v>
      </c>
      <c r="B24" s="13" t="s">
        <v>60</v>
      </c>
      <c r="C24" s="13" t="s">
        <v>52</v>
      </c>
      <c r="D24" s="13" t="s">
        <v>285</v>
      </c>
      <c r="E24" s="13" t="s">
        <v>237</v>
      </c>
      <c r="F24" s="13" t="s">
        <v>250</v>
      </c>
      <c r="G24" s="13" t="s">
        <v>286</v>
      </c>
      <c r="H24" s="13" t="s">
        <v>171</v>
      </c>
      <c r="I24" s="13" t="s">
        <v>184</v>
      </c>
      <c r="J24" s="13" t="s">
        <v>287</v>
      </c>
      <c r="K24" s="13" t="s">
        <v>268</v>
      </c>
      <c r="L24" s="13" t="s">
        <v>269</v>
      </c>
      <c r="M24" s="13" t="s">
        <v>49</v>
      </c>
      <c r="N24" s="13" t="s">
        <v>176</v>
      </c>
      <c r="O24" s="13" t="s">
        <v>177</v>
      </c>
      <c r="P24" s="13" t="s">
        <v>178</v>
      </c>
      <c r="Q24" s="13" t="s">
        <v>188</v>
      </c>
      <c r="R24" s="13"/>
      <c r="S24" s="13" t="s">
        <v>62</v>
      </c>
      <c r="T24" s="13" t="s">
        <v>180</v>
      </c>
    </row>
    <row r="25" spans="1:20" ht="108.75" customHeight="1" x14ac:dyDescent="0.3">
      <c r="A25" s="13" t="s">
        <v>288</v>
      </c>
      <c r="B25" s="13" t="s">
        <v>63</v>
      </c>
      <c r="C25" s="13" t="s">
        <v>52</v>
      </c>
      <c r="D25" s="13" t="s">
        <v>289</v>
      </c>
      <c r="E25" s="13" t="s">
        <v>58</v>
      </c>
      <c r="F25" s="13" t="s">
        <v>250</v>
      </c>
      <c r="G25" s="13" t="s">
        <v>251</v>
      </c>
      <c r="H25" s="13" t="s">
        <v>171</v>
      </c>
      <c r="I25" s="13" t="s">
        <v>184</v>
      </c>
      <c r="J25" s="13" t="s">
        <v>290</v>
      </c>
      <c r="K25" s="13" t="s">
        <v>291</v>
      </c>
      <c r="L25" s="13" t="s">
        <v>292</v>
      </c>
      <c r="M25" s="13" t="s">
        <v>49</v>
      </c>
      <c r="N25" s="13" t="s">
        <v>176</v>
      </c>
      <c r="O25" s="13" t="s">
        <v>177</v>
      </c>
      <c r="P25" s="13" t="s">
        <v>178</v>
      </c>
      <c r="Q25" s="13" t="s">
        <v>188</v>
      </c>
      <c r="R25" s="13"/>
      <c r="S25" s="13" t="s">
        <v>62</v>
      </c>
      <c r="T25" s="13" t="s">
        <v>180</v>
      </c>
    </row>
    <row r="26" spans="1:20" ht="108.75" customHeight="1" x14ac:dyDescent="0.3">
      <c r="A26" s="13" t="s">
        <v>293</v>
      </c>
      <c r="B26" s="13" t="s">
        <v>63</v>
      </c>
      <c r="C26" s="13" t="s">
        <v>52</v>
      </c>
      <c r="D26" s="13" t="s">
        <v>294</v>
      </c>
      <c r="E26" s="13" t="s">
        <v>237</v>
      </c>
      <c r="F26" s="13" t="s">
        <v>250</v>
      </c>
      <c r="G26" s="13" t="s">
        <v>295</v>
      </c>
      <c r="H26" s="13" t="s">
        <v>171</v>
      </c>
      <c r="I26" s="13" t="s">
        <v>184</v>
      </c>
      <c r="J26" s="13" t="s">
        <v>296</v>
      </c>
      <c r="K26" s="13" t="s">
        <v>297</v>
      </c>
      <c r="L26" s="13" t="s">
        <v>292</v>
      </c>
      <c r="M26" s="13" t="s">
        <v>49</v>
      </c>
      <c r="N26" s="13" t="s">
        <v>176</v>
      </c>
      <c r="O26" s="13" t="s">
        <v>195</v>
      </c>
      <c r="P26" s="13" t="s">
        <v>178</v>
      </c>
      <c r="Q26" s="13" t="s">
        <v>188</v>
      </c>
      <c r="R26" s="13"/>
      <c r="S26" s="13" t="s">
        <v>211</v>
      </c>
      <c r="T26" s="13" t="s">
        <v>180</v>
      </c>
    </row>
    <row r="27" spans="1:20" ht="108.75" customHeight="1" x14ac:dyDescent="0.3">
      <c r="A27" s="13" t="s">
        <v>298</v>
      </c>
      <c r="B27" s="13" t="s">
        <v>63</v>
      </c>
      <c r="C27" s="13" t="s">
        <v>52</v>
      </c>
      <c r="D27" s="13" t="s">
        <v>299</v>
      </c>
      <c r="E27" s="13" t="s">
        <v>237</v>
      </c>
      <c r="F27" s="13" t="s">
        <v>214</v>
      </c>
      <c r="G27" s="13" t="s">
        <v>300</v>
      </c>
      <c r="H27" s="13" t="s">
        <v>171</v>
      </c>
      <c r="I27" s="13" t="s">
        <v>184</v>
      </c>
      <c r="J27" s="13" t="s">
        <v>301</v>
      </c>
      <c r="K27" s="13" t="s">
        <v>302</v>
      </c>
      <c r="L27" s="13" t="s">
        <v>218</v>
      </c>
      <c r="M27" s="13" t="s">
        <v>49</v>
      </c>
      <c r="N27" s="13" t="s">
        <v>176</v>
      </c>
      <c r="O27" s="13" t="s">
        <v>219</v>
      </c>
      <c r="P27" s="13" t="s">
        <v>178</v>
      </c>
      <c r="Q27" s="13" t="s">
        <v>188</v>
      </c>
      <c r="R27" s="13"/>
      <c r="S27" s="13" t="s">
        <v>211</v>
      </c>
      <c r="T27" s="13" t="s">
        <v>180</v>
      </c>
    </row>
    <row r="28" spans="1:20" ht="108.75" customHeight="1" x14ac:dyDescent="0.3">
      <c r="A28" s="13" t="s">
        <v>303</v>
      </c>
      <c r="B28" s="13" t="s">
        <v>63</v>
      </c>
      <c r="C28" s="13" t="s">
        <v>52</v>
      </c>
      <c r="D28" s="13" t="s">
        <v>304</v>
      </c>
      <c r="E28" s="13" t="s">
        <v>237</v>
      </c>
      <c r="F28" s="13" t="s">
        <v>214</v>
      </c>
      <c r="G28" s="13" t="s">
        <v>233</v>
      </c>
      <c r="H28" s="13" t="s">
        <v>171</v>
      </c>
      <c r="I28" s="13" t="s">
        <v>184</v>
      </c>
      <c r="J28" s="13" t="s">
        <v>305</v>
      </c>
      <c r="K28" s="13" t="s">
        <v>306</v>
      </c>
      <c r="L28" s="13" t="s">
        <v>307</v>
      </c>
      <c r="M28" s="13" t="s">
        <v>49</v>
      </c>
      <c r="N28" s="13" t="s">
        <v>176</v>
      </c>
      <c r="O28" s="13" t="s">
        <v>219</v>
      </c>
      <c r="P28" s="13" t="s">
        <v>178</v>
      </c>
      <c r="Q28" s="13" t="s">
        <v>188</v>
      </c>
      <c r="R28" s="13"/>
      <c r="S28" s="13" t="s">
        <v>62</v>
      </c>
      <c r="T28" s="13" t="s">
        <v>180</v>
      </c>
    </row>
    <row r="29" spans="1:20" ht="108.75" customHeight="1" x14ac:dyDescent="0.3">
      <c r="A29" s="13" t="s">
        <v>308</v>
      </c>
      <c r="B29" s="13" t="s">
        <v>63</v>
      </c>
      <c r="C29" s="13" t="s">
        <v>52</v>
      </c>
      <c r="D29" s="13" t="s">
        <v>309</v>
      </c>
      <c r="E29" s="13" t="s">
        <v>237</v>
      </c>
      <c r="F29" s="13" t="s">
        <v>214</v>
      </c>
      <c r="G29" s="13" t="s">
        <v>227</v>
      </c>
      <c r="H29" s="13" t="s">
        <v>171</v>
      </c>
      <c r="I29" s="13" t="s">
        <v>184</v>
      </c>
      <c r="J29" s="13" t="s">
        <v>310</v>
      </c>
      <c r="K29" s="13" t="s">
        <v>311</v>
      </c>
      <c r="L29" s="13" t="s">
        <v>307</v>
      </c>
      <c r="M29" s="13" t="s">
        <v>49</v>
      </c>
      <c r="N29" s="13" t="s">
        <v>176</v>
      </c>
      <c r="O29" s="13" t="s">
        <v>195</v>
      </c>
      <c r="P29" s="13" t="s">
        <v>178</v>
      </c>
      <c r="Q29" s="13" t="s">
        <v>188</v>
      </c>
      <c r="R29" s="13"/>
      <c r="S29" s="13" t="s">
        <v>62</v>
      </c>
      <c r="T29" s="13" t="s">
        <v>180</v>
      </c>
    </row>
    <row r="30" spans="1:20" ht="108.75" customHeight="1" x14ac:dyDescent="0.3">
      <c r="A30" s="13" t="s">
        <v>312</v>
      </c>
      <c r="B30" s="13" t="s">
        <v>63</v>
      </c>
      <c r="C30" s="13" t="s">
        <v>52</v>
      </c>
      <c r="D30" s="13" t="s">
        <v>313</v>
      </c>
      <c r="E30" s="13" t="s">
        <v>58</v>
      </c>
      <c r="F30" s="13" t="s">
        <v>250</v>
      </c>
      <c r="G30" s="13" t="s">
        <v>314</v>
      </c>
      <c r="H30" s="13" t="s">
        <v>171</v>
      </c>
      <c r="I30" s="13" t="s">
        <v>184</v>
      </c>
      <c r="J30" s="13" t="s">
        <v>315</v>
      </c>
      <c r="K30" s="13" t="s">
        <v>316</v>
      </c>
      <c r="L30" s="13" t="s">
        <v>317</v>
      </c>
      <c r="M30" s="13" t="s">
        <v>49</v>
      </c>
      <c r="N30" s="13" t="s">
        <v>176</v>
      </c>
      <c r="O30" s="13" t="s">
        <v>177</v>
      </c>
      <c r="P30" s="13" t="s">
        <v>178</v>
      </c>
      <c r="Q30" s="13" t="s">
        <v>188</v>
      </c>
      <c r="R30" s="13"/>
      <c r="S30" s="13" t="s">
        <v>318</v>
      </c>
      <c r="T30" s="13" t="s">
        <v>180</v>
      </c>
    </row>
    <row r="31" spans="1:20" ht="108.75" customHeight="1" x14ac:dyDescent="0.3">
      <c r="A31" s="13" t="s">
        <v>319</v>
      </c>
      <c r="B31" s="13" t="s">
        <v>65</v>
      </c>
      <c r="C31" s="13" t="s">
        <v>52</v>
      </c>
      <c r="D31" s="13" t="s">
        <v>320</v>
      </c>
      <c r="E31" s="14" t="s">
        <v>54</v>
      </c>
      <c r="F31" s="13" t="s">
        <v>321</v>
      </c>
      <c r="G31" s="13" t="s">
        <v>322</v>
      </c>
      <c r="H31" s="13" t="s">
        <v>171</v>
      </c>
      <c r="I31" s="13" t="s">
        <v>323</v>
      </c>
      <c r="J31" s="13" t="s">
        <v>324</v>
      </c>
      <c r="K31" s="13" t="s">
        <v>325</v>
      </c>
      <c r="L31" s="13" t="s">
        <v>326</v>
      </c>
      <c r="M31" s="13" t="s">
        <v>49</v>
      </c>
      <c r="N31" s="13" t="s">
        <v>176</v>
      </c>
      <c r="O31" s="13" t="s">
        <v>177</v>
      </c>
      <c r="P31" s="13" t="s">
        <v>178</v>
      </c>
      <c r="Q31" s="13" t="s">
        <v>178</v>
      </c>
      <c r="R31" s="13"/>
      <c r="S31" s="13" t="s">
        <v>327</v>
      </c>
      <c r="T31" s="13" t="s">
        <v>180</v>
      </c>
    </row>
    <row r="32" spans="1:20" ht="108.75" customHeight="1" x14ac:dyDescent="0.3">
      <c r="A32" s="13" t="s">
        <v>328</v>
      </c>
      <c r="B32" s="13" t="s">
        <v>65</v>
      </c>
      <c r="C32" s="13" t="s">
        <v>52</v>
      </c>
      <c r="D32" s="13" t="s">
        <v>329</v>
      </c>
      <c r="E32" s="13" t="s">
        <v>58</v>
      </c>
      <c r="F32" s="13" t="s">
        <v>250</v>
      </c>
      <c r="G32" s="13" t="s">
        <v>330</v>
      </c>
      <c r="H32" s="13" t="s">
        <v>171</v>
      </c>
      <c r="I32" s="13" t="s">
        <v>184</v>
      </c>
      <c r="J32" s="13" t="s">
        <v>331</v>
      </c>
      <c r="K32" s="13" t="s">
        <v>332</v>
      </c>
      <c r="L32" s="13" t="s">
        <v>333</v>
      </c>
      <c r="M32" s="13" t="s">
        <v>49</v>
      </c>
      <c r="N32" s="13" t="s">
        <v>176</v>
      </c>
      <c r="O32" s="13" t="s">
        <v>177</v>
      </c>
      <c r="P32" s="13" t="s">
        <v>178</v>
      </c>
      <c r="Q32" s="13" t="s">
        <v>188</v>
      </c>
      <c r="R32" s="13"/>
      <c r="S32" s="13" t="s">
        <v>334</v>
      </c>
      <c r="T32" s="13" t="s">
        <v>180</v>
      </c>
    </row>
    <row r="33" spans="1:20" ht="108.75" customHeight="1" x14ac:dyDescent="0.3">
      <c r="A33" s="13" t="s">
        <v>335</v>
      </c>
      <c r="B33" s="13" t="s">
        <v>65</v>
      </c>
      <c r="C33" s="13" t="s">
        <v>52</v>
      </c>
      <c r="D33" s="13" t="s">
        <v>336</v>
      </c>
      <c r="E33" s="13" t="s">
        <v>237</v>
      </c>
      <c r="F33" s="13" t="s">
        <v>250</v>
      </c>
      <c r="G33" s="13" t="s">
        <v>330</v>
      </c>
      <c r="H33" s="13" t="s">
        <v>171</v>
      </c>
      <c r="I33" s="13" t="s">
        <v>184</v>
      </c>
      <c r="J33" s="13" t="s">
        <v>337</v>
      </c>
      <c r="K33" s="13" t="s">
        <v>338</v>
      </c>
      <c r="L33" s="13" t="s">
        <v>333</v>
      </c>
      <c r="M33" s="13" t="s">
        <v>49</v>
      </c>
      <c r="N33" s="13" t="s">
        <v>176</v>
      </c>
      <c r="O33" s="13" t="s">
        <v>177</v>
      </c>
      <c r="P33" s="13" t="s">
        <v>178</v>
      </c>
      <c r="Q33" s="13" t="s">
        <v>188</v>
      </c>
      <c r="R33" s="13"/>
      <c r="S33" s="13" t="s">
        <v>334</v>
      </c>
      <c r="T33" s="13" t="s">
        <v>180</v>
      </c>
    </row>
    <row r="34" spans="1:20" ht="108.75" customHeight="1" x14ac:dyDescent="0.3">
      <c r="A34" s="13" t="s">
        <v>339</v>
      </c>
      <c r="B34" s="13" t="s">
        <v>65</v>
      </c>
      <c r="C34" s="13" t="s">
        <v>52</v>
      </c>
      <c r="D34" s="13" t="s">
        <v>340</v>
      </c>
      <c r="E34" s="13" t="s">
        <v>237</v>
      </c>
      <c r="F34" s="13" t="s">
        <v>341</v>
      </c>
      <c r="G34" s="13" t="s">
        <v>342</v>
      </c>
      <c r="H34" s="13" t="s">
        <v>171</v>
      </c>
      <c r="I34" s="13" t="s">
        <v>184</v>
      </c>
      <c r="J34" s="13" t="s">
        <v>343</v>
      </c>
      <c r="K34" s="13" t="s">
        <v>344</v>
      </c>
      <c r="L34" s="13" t="s">
        <v>230</v>
      </c>
      <c r="M34" s="13" t="s">
        <v>49</v>
      </c>
      <c r="N34" s="13" t="s">
        <v>176</v>
      </c>
      <c r="O34" s="13" t="s">
        <v>177</v>
      </c>
      <c r="P34" s="13" t="s">
        <v>178</v>
      </c>
      <c r="Q34" s="13" t="s">
        <v>188</v>
      </c>
      <c r="R34" s="13"/>
      <c r="S34" s="13" t="s">
        <v>345</v>
      </c>
      <c r="T34" s="13" t="s">
        <v>180</v>
      </c>
    </row>
    <row r="35" spans="1:20" ht="175.5" customHeight="1" x14ac:dyDescent="0.3">
      <c r="A35" s="13" t="s">
        <v>346</v>
      </c>
      <c r="B35" s="13" t="s">
        <v>65</v>
      </c>
      <c r="C35" s="13" t="s">
        <v>52</v>
      </c>
      <c r="D35" s="13" t="s">
        <v>347</v>
      </c>
      <c r="E35" s="13" t="s">
        <v>237</v>
      </c>
      <c r="F35" s="13" t="s">
        <v>341</v>
      </c>
      <c r="G35" s="13" t="s">
        <v>342</v>
      </c>
      <c r="H35" s="13" t="s">
        <v>171</v>
      </c>
      <c r="I35" s="13" t="s">
        <v>348</v>
      </c>
      <c r="J35" s="13" t="s">
        <v>349</v>
      </c>
      <c r="K35" s="13" t="s">
        <v>350</v>
      </c>
      <c r="L35" s="13" t="s">
        <v>351</v>
      </c>
      <c r="M35" s="13" t="s">
        <v>49</v>
      </c>
      <c r="N35" s="13" t="s">
        <v>176</v>
      </c>
      <c r="O35" s="13" t="s">
        <v>177</v>
      </c>
      <c r="P35" s="13" t="s">
        <v>178</v>
      </c>
      <c r="Q35" s="13" t="s">
        <v>188</v>
      </c>
      <c r="R35" s="13"/>
      <c r="S35" s="13" t="s">
        <v>352</v>
      </c>
      <c r="T35" s="13" t="s">
        <v>180</v>
      </c>
    </row>
    <row r="36" spans="1:20" ht="108.75" customHeight="1" x14ac:dyDescent="0.3">
      <c r="A36" s="13" t="s">
        <v>353</v>
      </c>
      <c r="B36" s="13" t="s">
        <v>65</v>
      </c>
      <c r="C36" s="13" t="s">
        <v>52</v>
      </c>
      <c r="D36" s="13" t="s">
        <v>354</v>
      </c>
      <c r="E36" s="13" t="s">
        <v>355</v>
      </c>
      <c r="F36" s="13" t="s">
        <v>356</v>
      </c>
      <c r="G36" s="13" t="s">
        <v>342</v>
      </c>
      <c r="H36" s="13" t="s">
        <v>171</v>
      </c>
      <c r="I36" s="13" t="s">
        <v>357</v>
      </c>
      <c r="J36" s="13" t="s">
        <v>358</v>
      </c>
      <c r="K36" s="13" t="s">
        <v>359</v>
      </c>
      <c r="L36" s="13" t="s">
        <v>360</v>
      </c>
      <c r="M36" s="13" t="s">
        <v>49</v>
      </c>
      <c r="N36" s="13" t="s">
        <v>176</v>
      </c>
      <c r="O36" s="13" t="s">
        <v>177</v>
      </c>
      <c r="P36" s="13" t="s">
        <v>178</v>
      </c>
      <c r="Q36" s="13" t="s">
        <v>188</v>
      </c>
      <c r="R36" s="13"/>
      <c r="S36" s="13" t="s">
        <v>361</v>
      </c>
      <c r="T36" s="13" t="s">
        <v>180</v>
      </c>
    </row>
    <row r="37" spans="1:20" ht="162" customHeight="1" x14ac:dyDescent="0.3">
      <c r="A37" s="13" t="s">
        <v>362</v>
      </c>
      <c r="B37" s="13" t="s">
        <v>68</v>
      </c>
      <c r="C37" s="13" t="s">
        <v>52</v>
      </c>
      <c r="D37" s="13" t="s">
        <v>363</v>
      </c>
      <c r="E37" s="14" t="s">
        <v>54</v>
      </c>
      <c r="F37" s="13" t="s">
        <v>364</v>
      </c>
      <c r="G37" s="13" t="s">
        <v>365</v>
      </c>
      <c r="H37" s="13" t="s">
        <v>171</v>
      </c>
      <c r="I37" s="13" t="s">
        <v>366</v>
      </c>
      <c r="J37" s="13" t="s">
        <v>367</v>
      </c>
      <c r="K37" s="13" t="s">
        <v>368</v>
      </c>
      <c r="L37" s="13" t="s">
        <v>351</v>
      </c>
      <c r="M37" s="13" t="s">
        <v>49</v>
      </c>
      <c r="N37" s="13" t="s">
        <v>176</v>
      </c>
      <c r="O37" s="13" t="s">
        <v>177</v>
      </c>
      <c r="P37" s="13" t="s">
        <v>178</v>
      </c>
      <c r="Q37" s="13" t="s">
        <v>178</v>
      </c>
      <c r="R37" s="13"/>
      <c r="S37" s="13" t="s">
        <v>369</v>
      </c>
      <c r="T37" s="13" t="s">
        <v>180</v>
      </c>
    </row>
    <row r="38" spans="1:20" ht="162" customHeight="1" x14ac:dyDescent="0.3">
      <c r="A38" s="13" t="s">
        <v>370</v>
      </c>
      <c r="B38" s="13" t="s">
        <v>68</v>
      </c>
      <c r="C38" s="13" t="s">
        <v>52</v>
      </c>
      <c r="D38" s="13" t="s">
        <v>371</v>
      </c>
      <c r="E38" s="13" t="s">
        <v>58</v>
      </c>
      <c r="F38" s="13" t="s">
        <v>364</v>
      </c>
      <c r="G38" s="13" t="s">
        <v>372</v>
      </c>
      <c r="H38" s="13" t="s">
        <v>171</v>
      </c>
      <c r="I38" s="13" t="s">
        <v>373</v>
      </c>
      <c r="J38" s="13" t="s">
        <v>374</v>
      </c>
      <c r="K38" s="13" t="s">
        <v>375</v>
      </c>
      <c r="L38" s="13" t="s">
        <v>351</v>
      </c>
      <c r="M38" s="13" t="s">
        <v>49</v>
      </c>
      <c r="N38" s="13" t="s">
        <v>176</v>
      </c>
      <c r="O38" s="13" t="s">
        <v>177</v>
      </c>
      <c r="P38" s="13" t="s">
        <v>178</v>
      </c>
      <c r="Q38" s="13" t="s">
        <v>188</v>
      </c>
      <c r="R38" s="13"/>
      <c r="S38" s="13" t="s">
        <v>376</v>
      </c>
      <c r="T38" s="13" t="s">
        <v>180</v>
      </c>
    </row>
    <row r="39" spans="1:20" ht="175.5" customHeight="1" x14ac:dyDescent="0.3">
      <c r="A39" s="13" t="s">
        <v>377</v>
      </c>
      <c r="B39" s="13" t="s">
        <v>68</v>
      </c>
      <c r="C39" s="13" t="s">
        <v>52</v>
      </c>
      <c r="D39" s="13" t="s">
        <v>378</v>
      </c>
      <c r="E39" s="13" t="s">
        <v>58</v>
      </c>
      <c r="F39" s="13" t="s">
        <v>364</v>
      </c>
      <c r="G39" s="13" t="s">
        <v>379</v>
      </c>
      <c r="H39" s="13" t="s">
        <v>171</v>
      </c>
      <c r="I39" s="13" t="s">
        <v>380</v>
      </c>
      <c r="J39" s="13" t="s">
        <v>381</v>
      </c>
      <c r="K39" s="13" t="s">
        <v>382</v>
      </c>
      <c r="L39" s="13" t="s">
        <v>383</v>
      </c>
      <c r="M39" s="13" t="s">
        <v>49</v>
      </c>
      <c r="N39" s="13" t="s">
        <v>176</v>
      </c>
      <c r="O39" s="13" t="s">
        <v>177</v>
      </c>
      <c r="P39" s="13" t="s">
        <v>178</v>
      </c>
      <c r="Q39" s="13" t="s">
        <v>188</v>
      </c>
      <c r="R39" s="13"/>
      <c r="S39" s="13" t="s">
        <v>384</v>
      </c>
      <c r="T39" s="13" t="s">
        <v>180</v>
      </c>
    </row>
    <row r="40" spans="1:20" ht="108.75" customHeight="1" x14ac:dyDescent="0.3">
      <c r="A40" s="13" t="s">
        <v>385</v>
      </c>
      <c r="B40" s="13" t="s">
        <v>68</v>
      </c>
      <c r="C40" s="13" t="s">
        <v>52</v>
      </c>
      <c r="D40" s="13" t="s">
        <v>386</v>
      </c>
      <c r="E40" s="14" t="s">
        <v>54</v>
      </c>
      <c r="F40" s="13" t="s">
        <v>364</v>
      </c>
      <c r="G40" s="13" t="s">
        <v>387</v>
      </c>
      <c r="H40" s="13" t="s">
        <v>171</v>
      </c>
      <c r="I40" s="13" t="s">
        <v>184</v>
      </c>
      <c r="J40" s="13" t="s">
        <v>388</v>
      </c>
      <c r="K40" s="13" t="s">
        <v>389</v>
      </c>
      <c r="L40" s="13" t="s">
        <v>390</v>
      </c>
      <c r="M40" s="13" t="s">
        <v>49</v>
      </c>
      <c r="N40" s="13" t="s">
        <v>176</v>
      </c>
      <c r="O40" s="13" t="s">
        <v>177</v>
      </c>
      <c r="P40" s="13" t="s">
        <v>178</v>
      </c>
      <c r="Q40" s="13" t="s">
        <v>188</v>
      </c>
      <c r="R40" s="13"/>
      <c r="S40" s="13" t="s">
        <v>391</v>
      </c>
      <c r="T40" s="13" t="s">
        <v>180</v>
      </c>
    </row>
    <row r="41" spans="1:20" ht="108.75" customHeight="1" x14ac:dyDescent="0.3">
      <c r="A41" s="13" t="s">
        <v>392</v>
      </c>
      <c r="B41" s="13" t="s">
        <v>68</v>
      </c>
      <c r="C41" s="13" t="s">
        <v>52</v>
      </c>
      <c r="D41" s="13" t="s">
        <v>393</v>
      </c>
      <c r="E41" s="13" t="s">
        <v>58</v>
      </c>
      <c r="F41" s="13" t="s">
        <v>364</v>
      </c>
      <c r="G41" s="13" t="s">
        <v>394</v>
      </c>
      <c r="H41" s="13" t="s">
        <v>171</v>
      </c>
      <c r="I41" s="13" t="s">
        <v>184</v>
      </c>
      <c r="J41" s="13" t="s">
        <v>395</v>
      </c>
      <c r="K41" s="13" t="s">
        <v>396</v>
      </c>
      <c r="L41" s="13" t="s">
        <v>390</v>
      </c>
      <c r="M41" s="13" t="s">
        <v>49</v>
      </c>
      <c r="N41" s="13" t="s">
        <v>176</v>
      </c>
      <c r="O41" s="13" t="s">
        <v>177</v>
      </c>
      <c r="P41" s="13" t="s">
        <v>178</v>
      </c>
      <c r="Q41" s="13" t="s">
        <v>188</v>
      </c>
      <c r="R41" s="13"/>
      <c r="S41" s="13" t="s">
        <v>397</v>
      </c>
      <c r="T41" s="13" t="s">
        <v>180</v>
      </c>
    </row>
    <row r="42" spans="1:20" ht="108.75" customHeight="1" x14ac:dyDescent="0.3">
      <c r="A42" s="13" t="s">
        <v>398</v>
      </c>
      <c r="B42" s="13" t="s">
        <v>68</v>
      </c>
      <c r="C42" s="13" t="s">
        <v>52</v>
      </c>
      <c r="D42" s="13" t="s">
        <v>399</v>
      </c>
      <c r="E42" s="13" t="s">
        <v>237</v>
      </c>
      <c r="F42" s="13" t="s">
        <v>400</v>
      </c>
      <c r="G42" s="13" t="s">
        <v>401</v>
      </c>
      <c r="H42" s="13" t="s">
        <v>171</v>
      </c>
      <c r="I42" s="13" t="s">
        <v>184</v>
      </c>
      <c r="J42" s="13" t="s">
        <v>402</v>
      </c>
      <c r="K42" s="13" t="s">
        <v>403</v>
      </c>
      <c r="L42" s="13" t="s">
        <v>218</v>
      </c>
      <c r="M42" s="13" t="s">
        <v>49</v>
      </c>
      <c r="N42" s="13" t="s">
        <v>176</v>
      </c>
      <c r="O42" s="13" t="s">
        <v>177</v>
      </c>
      <c r="P42" s="13" t="s">
        <v>178</v>
      </c>
      <c r="Q42" s="13" t="s">
        <v>188</v>
      </c>
      <c r="R42" s="13"/>
      <c r="S42" s="13" t="s">
        <v>391</v>
      </c>
      <c r="T42" s="13" t="s">
        <v>180</v>
      </c>
    </row>
    <row r="43" spans="1:20" ht="189" customHeight="1" x14ac:dyDescent="0.3">
      <c r="A43" s="13" t="s">
        <v>404</v>
      </c>
      <c r="B43" s="13" t="s">
        <v>68</v>
      </c>
      <c r="C43" s="13" t="s">
        <v>52</v>
      </c>
      <c r="D43" s="13" t="s">
        <v>405</v>
      </c>
      <c r="E43" s="13" t="s">
        <v>237</v>
      </c>
      <c r="F43" s="13" t="s">
        <v>341</v>
      </c>
      <c r="G43" s="13" t="s">
        <v>406</v>
      </c>
      <c r="H43" s="13" t="s">
        <v>171</v>
      </c>
      <c r="I43" s="13" t="s">
        <v>407</v>
      </c>
      <c r="J43" s="13" t="s">
        <v>408</v>
      </c>
      <c r="K43" s="13" t="s">
        <v>409</v>
      </c>
      <c r="L43" s="13" t="s">
        <v>410</v>
      </c>
      <c r="M43" s="13" t="s">
        <v>49</v>
      </c>
      <c r="N43" s="13" t="s">
        <v>176</v>
      </c>
      <c r="O43" s="13" t="s">
        <v>195</v>
      </c>
      <c r="P43" s="13" t="s">
        <v>178</v>
      </c>
      <c r="Q43" s="13" t="s">
        <v>188</v>
      </c>
      <c r="R43" s="13"/>
      <c r="S43" s="13" t="s">
        <v>411</v>
      </c>
      <c r="T43" s="13" t="s">
        <v>180</v>
      </c>
    </row>
    <row r="44" spans="1:20" ht="135.75" customHeight="1" x14ac:dyDescent="0.3">
      <c r="A44" s="13" t="s">
        <v>412</v>
      </c>
      <c r="B44" s="13" t="s">
        <v>68</v>
      </c>
      <c r="C44" s="13" t="s">
        <v>52</v>
      </c>
      <c r="D44" s="13" t="s">
        <v>413</v>
      </c>
      <c r="E44" s="14" t="s">
        <v>54</v>
      </c>
      <c r="F44" s="13" t="s">
        <v>414</v>
      </c>
      <c r="G44" s="13" t="s">
        <v>415</v>
      </c>
      <c r="H44" s="13" t="s">
        <v>416</v>
      </c>
      <c r="I44" s="13" t="s">
        <v>417</v>
      </c>
      <c r="J44" s="13" t="s">
        <v>418</v>
      </c>
      <c r="K44" s="13" t="s">
        <v>419</v>
      </c>
      <c r="L44" s="13" t="s">
        <v>420</v>
      </c>
      <c r="M44" s="13" t="s">
        <v>49</v>
      </c>
      <c r="N44" s="13" t="s">
        <v>176</v>
      </c>
      <c r="O44" s="13" t="s">
        <v>421</v>
      </c>
      <c r="P44" s="13" t="s">
        <v>178</v>
      </c>
      <c r="Q44" s="13" t="s">
        <v>188</v>
      </c>
      <c r="R44" s="13"/>
      <c r="S44" s="13" t="s">
        <v>422</v>
      </c>
      <c r="T44" s="13" t="s">
        <v>180</v>
      </c>
    </row>
    <row r="45" spans="1:20" ht="135.75" customHeight="1" x14ac:dyDescent="0.3">
      <c r="A45" s="13" t="s">
        <v>423</v>
      </c>
      <c r="B45" s="13" t="s">
        <v>68</v>
      </c>
      <c r="C45" s="13" t="s">
        <v>52</v>
      </c>
      <c r="D45" s="13" t="s">
        <v>424</v>
      </c>
      <c r="E45" s="13" t="s">
        <v>237</v>
      </c>
      <c r="F45" s="13" t="s">
        <v>341</v>
      </c>
      <c r="G45" s="13" t="s">
        <v>342</v>
      </c>
      <c r="H45" s="13" t="s">
        <v>425</v>
      </c>
      <c r="I45" s="13" t="s">
        <v>184</v>
      </c>
      <c r="J45" s="13" t="s">
        <v>426</v>
      </c>
      <c r="K45" s="13" t="s">
        <v>427</v>
      </c>
      <c r="L45" s="13" t="s">
        <v>428</v>
      </c>
      <c r="M45" s="13" t="s">
        <v>49</v>
      </c>
      <c r="N45" s="13" t="s">
        <v>176</v>
      </c>
      <c r="O45" s="13" t="s">
        <v>177</v>
      </c>
      <c r="P45" s="13" t="s">
        <v>178</v>
      </c>
      <c r="Q45" s="13" t="s">
        <v>188</v>
      </c>
      <c r="R45" s="13"/>
      <c r="S45" s="13" t="s">
        <v>429</v>
      </c>
      <c r="T45" s="13" t="s">
        <v>180</v>
      </c>
    </row>
    <row r="46" spans="1:20" ht="175.5" customHeight="1" x14ac:dyDescent="0.3">
      <c r="A46" s="13" t="s">
        <v>430</v>
      </c>
      <c r="B46" s="13" t="s">
        <v>71</v>
      </c>
      <c r="C46" s="13" t="s">
        <v>72</v>
      </c>
      <c r="D46" s="13" t="s">
        <v>431</v>
      </c>
      <c r="E46" s="14" t="s">
        <v>54</v>
      </c>
      <c r="F46" s="13" t="s">
        <v>169</v>
      </c>
      <c r="G46" s="13" t="s">
        <v>432</v>
      </c>
      <c r="H46" s="13" t="s">
        <v>433</v>
      </c>
      <c r="I46" s="13" t="s">
        <v>434</v>
      </c>
      <c r="J46" s="13" t="s">
        <v>435</v>
      </c>
      <c r="K46" s="13" t="s">
        <v>436</v>
      </c>
      <c r="L46" s="13" t="s">
        <v>437</v>
      </c>
      <c r="M46" s="13" t="s">
        <v>49</v>
      </c>
      <c r="N46" s="13" t="s">
        <v>176</v>
      </c>
      <c r="O46" s="13" t="s">
        <v>177</v>
      </c>
      <c r="P46" s="13" t="s">
        <v>178</v>
      </c>
      <c r="Q46" s="13" t="s">
        <v>178</v>
      </c>
      <c r="R46" s="13"/>
      <c r="S46" s="13" t="s">
        <v>179</v>
      </c>
      <c r="T46" s="13" t="s">
        <v>438</v>
      </c>
    </row>
    <row r="47" spans="1:20" ht="149.25" customHeight="1" x14ac:dyDescent="0.3">
      <c r="A47" s="13" t="s">
        <v>439</v>
      </c>
      <c r="B47" s="13" t="s">
        <v>71</v>
      </c>
      <c r="C47" s="13" t="s">
        <v>72</v>
      </c>
      <c r="D47" s="13" t="s">
        <v>440</v>
      </c>
      <c r="E47" s="13" t="s">
        <v>58</v>
      </c>
      <c r="F47" s="13" t="s">
        <v>169</v>
      </c>
      <c r="G47" s="13" t="s">
        <v>183</v>
      </c>
      <c r="H47" s="13" t="s">
        <v>433</v>
      </c>
      <c r="I47" s="13" t="s">
        <v>434</v>
      </c>
      <c r="J47" s="13" t="s">
        <v>435</v>
      </c>
      <c r="K47" s="13" t="s">
        <v>441</v>
      </c>
      <c r="L47" s="13" t="s">
        <v>442</v>
      </c>
      <c r="M47" s="13" t="s">
        <v>49</v>
      </c>
      <c r="N47" s="13" t="s">
        <v>176</v>
      </c>
      <c r="O47" s="13" t="s">
        <v>177</v>
      </c>
      <c r="P47" s="13" t="s">
        <v>178</v>
      </c>
      <c r="Q47" s="13" t="s">
        <v>188</v>
      </c>
      <c r="R47" s="13"/>
      <c r="S47" s="13" t="s">
        <v>196</v>
      </c>
      <c r="T47" s="13" t="s">
        <v>438</v>
      </c>
    </row>
    <row r="48" spans="1:20" ht="175.5" customHeight="1" x14ac:dyDescent="0.3">
      <c r="A48" s="13" t="s">
        <v>443</v>
      </c>
      <c r="B48" s="13" t="s">
        <v>71</v>
      </c>
      <c r="C48" s="13" t="s">
        <v>72</v>
      </c>
      <c r="D48" s="13" t="s">
        <v>444</v>
      </c>
      <c r="E48" s="13" t="s">
        <v>58</v>
      </c>
      <c r="F48" s="13" t="s">
        <v>169</v>
      </c>
      <c r="G48" s="13" t="s">
        <v>445</v>
      </c>
      <c r="H48" s="13" t="s">
        <v>433</v>
      </c>
      <c r="I48" s="13" t="s">
        <v>446</v>
      </c>
      <c r="J48" s="13" t="s">
        <v>447</v>
      </c>
      <c r="K48" s="13" t="s">
        <v>448</v>
      </c>
      <c r="L48" s="13" t="s">
        <v>449</v>
      </c>
      <c r="M48" s="13" t="s">
        <v>49</v>
      </c>
      <c r="N48" s="13" t="s">
        <v>176</v>
      </c>
      <c r="O48" s="13" t="s">
        <v>177</v>
      </c>
      <c r="P48" s="13" t="s">
        <v>178</v>
      </c>
      <c r="Q48" s="13" t="s">
        <v>188</v>
      </c>
      <c r="R48" s="13"/>
      <c r="S48" s="13" t="s">
        <v>189</v>
      </c>
      <c r="T48" s="13" t="s">
        <v>438</v>
      </c>
    </row>
    <row r="49" spans="1:20" ht="149.25" customHeight="1" x14ac:dyDescent="0.3">
      <c r="A49" s="13" t="s">
        <v>450</v>
      </c>
      <c r="B49" s="13" t="s">
        <v>71</v>
      </c>
      <c r="C49" s="13" t="s">
        <v>72</v>
      </c>
      <c r="D49" s="13" t="s">
        <v>451</v>
      </c>
      <c r="E49" s="13" t="s">
        <v>237</v>
      </c>
      <c r="F49" s="13" t="s">
        <v>169</v>
      </c>
      <c r="G49" s="13" t="s">
        <v>183</v>
      </c>
      <c r="H49" s="13" t="s">
        <v>433</v>
      </c>
      <c r="I49" s="13" t="s">
        <v>452</v>
      </c>
      <c r="J49" s="13" t="s">
        <v>453</v>
      </c>
      <c r="K49" s="13" t="s">
        <v>454</v>
      </c>
      <c r="L49" s="13" t="s">
        <v>455</v>
      </c>
      <c r="M49" s="13" t="s">
        <v>49</v>
      </c>
      <c r="N49" s="13" t="s">
        <v>176</v>
      </c>
      <c r="O49" s="13" t="s">
        <v>177</v>
      </c>
      <c r="P49" s="13" t="s">
        <v>178</v>
      </c>
      <c r="Q49" s="13" t="s">
        <v>188</v>
      </c>
      <c r="R49" s="13"/>
      <c r="S49" s="13" t="s">
        <v>456</v>
      </c>
      <c r="T49" s="13" t="s">
        <v>438</v>
      </c>
    </row>
    <row r="50" spans="1:20" ht="149.25" customHeight="1" x14ac:dyDescent="0.3">
      <c r="A50" s="13" t="s">
        <v>457</v>
      </c>
      <c r="B50" s="13" t="s">
        <v>71</v>
      </c>
      <c r="C50" s="13" t="s">
        <v>72</v>
      </c>
      <c r="D50" s="13" t="s">
        <v>458</v>
      </c>
      <c r="E50" s="13" t="s">
        <v>237</v>
      </c>
      <c r="F50" s="13" t="s">
        <v>169</v>
      </c>
      <c r="G50" s="13" t="s">
        <v>183</v>
      </c>
      <c r="H50" s="13" t="s">
        <v>433</v>
      </c>
      <c r="I50" s="13" t="s">
        <v>459</v>
      </c>
      <c r="J50" s="13" t="s">
        <v>460</v>
      </c>
      <c r="K50" s="13" t="s">
        <v>461</v>
      </c>
      <c r="L50" s="13" t="s">
        <v>462</v>
      </c>
      <c r="M50" s="13" t="s">
        <v>49</v>
      </c>
      <c r="N50" s="13" t="s">
        <v>176</v>
      </c>
      <c r="O50" s="13" t="s">
        <v>177</v>
      </c>
      <c r="P50" s="13" t="s">
        <v>178</v>
      </c>
      <c r="Q50" s="13" t="s">
        <v>188</v>
      </c>
      <c r="R50" s="13"/>
      <c r="S50" s="13" t="s">
        <v>211</v>
      </c>
      <c r="T50" s="13" t="s">
        <v>438</v>
      </c>
    </row>
    <row r="51" spans="1:20" ht="149.25" customHeight="1" x14ac:dyDescent="0.3">
      <c r="A51" s="13" t="s">
        <v>463</v>
      </c>
      <c r="B51" s="13" t="s">
        <v>71</v>
      </c>
      <c r="C51" s="13" t="s">
        <v>72</v>
      </c>
      <c r="D51" s="13" t="s">
        <v>464</v>
      </c>
      <c r="E51" s="13" t="s">
        <v>237</v>
      </c>
      <c r="F51" s="13" t="s">
        <v>169</v>
      </c>
      <c r="G51" s="13" t="s">
        <v>465</v>
      </c>
      <c r="H51" s="13" t="s">
        <v>433</v>
      </c>
      <c r="I51" s="13" t="s">
        <v>466</v>
      </c>
      <c r="J51" s="13" t="s">
        <v>467</v>
      </c>
      <c r="K51" s="13" t="s">
        <v>468</v>
      </c>
      <c r="L51" s="13" t="s">
        <v>462</v>
      </c>
      <c r="M51" s="13" t="s">
        <v>49</v>
      </c>
      <c r="N51" s="13" t="s">
        <v>176</v>
      </c>
      <c r="O51" s="13" t="s">
        <v>177</v>
      </c>
      <c r="P51" s="13" t="s">
        <v>178</v>
      </c>
      <c r="Q51" s="13" t="s">
        <v>188</v>
      </c>
      <c r="R51" s="13"/>
      <c r="S51" s="13" t="s">
        <v>211</v>
      </c>
      <c r="T51" s="13" t="s">
        <v>438</v>
      </c>
    </row>
    <row r="52" spans="1:20" ht="149.25" customHeight="1" x14ac:dyDescent="0.3">
      <c r="A52" s="13" t="s">
        <v>469</v>
      </c>
      <c r="B52" s="13" t="s">
        <v>71</v>
      </c>
      <c r="C52" s="13" t="s">
        <v>72</v>
      </c>
      <c r="D52" s="13" t="s">
        <v>470</v>
      </c>
      <c r="E52" s="13" t="s">
        <v>237</v>
      </c>
      <c r="F52" s="13" t="s">
        <v>169</v>
      </c>
      <c r="G52" s="13" t="s">
        <v>465</v>
      </c>
      <c r="H52" s="13" t="s">
        <v>433</v>
      </c>
      <c r="I52" s="13" t="s">
        <v>471</v>
      </c>
      <c r="J52" s="13" t="s">
        <v>472</v>
      </c>
      <c r="K52" s="13" t="s">
        <v>473</v>
      </c>
      <c r="L52" s="13" t="s">
        <v>455</v>
      </c>
      <c r="M52" s="13" t="s">
        <v>49</v>
      </c>
      <c r="N52" s="13" t="s">
        <v>176</v>
      </c>
      <c r="O52" s="13" t="s">
        <v>177</v>
      </c>
      <c r="P52" s="13" t="s">
        <v>178</v>
      </c>
      <c r="Q52" s="13" t="s">
        <v>188</v>
      </c>
      <c r="R52" s="13"/>
      <c r="S52" s="13" t="s">
        <v>211</v>
      </c>
      <c r="T52" s="13" t="s">
        <v>438</v>
      </c>
    </row>
    <row r="53" spans="1:20" ht="149.25" customHeight="1" x14ac:dyDescent="0.3">
      <c r="A53" s="13" t="s">
        <v>474</v>
      </c>
      <c r="B53" s="13" t="s">
        <v>75</v>
      </c>
      <c r="C53" s="13" t="s">
        <v>72</v>
      </c>
      <c r="D53" s="13" t="s">
        <v>475</v>
      </c>
      <c r="E53" s="13" t="s">
        <v>58</v>
      </c>
      <c r="F53" s="13" t="s">
        <v>169</v>
      </c>
      <c r="G53" s="13" t="s">
        <v>476</v>
      </c>
      <c r="H53" s="13" t="s">
        <v>477</v>
      </c>
      <c r="I53" s="13" t="s">
        <v>478</v>
      </c>
      <c r="J53" s="13" t="s">
        <v>479</v>
      </c>
      <c r="K53" s="13" t="s">
        <v>480</v>
      </c>
      <c r="L53" s="13" t="s">
        <v>481</v>
      </c>
      <c r="M53" s="13" t="s">
        <v>49</v>
      </c>
      <c r="N53" s="13" t="s">
        <v>176</v>
      </c>
      <c r="O53" s="13" t="s">
        <v>177</v>
      </c>
      <c r="P53" s="13" t="s">
        <v>178</v>
      </c>
      <c r="Q53" s="13" t="s">
        <v>178</v>
      </c>
      <c r="R53" s="13"/>
      <c r="S53" s="13" t="s">
        <v>211</v>
      </c>
      <c r="T53" s="13" t="s">
        <v>438</v>
      </c>
    </row>
    <row r="54" spans="1:20" ht="149.25" customHeight="1" x14ac:dyDescent="0.3">
      <c r="A54" s="13" t="s">
        <v>482</v>
      </c>
      <c r="B54" s="13" t="s">
        <v>75</v>
      </c>
      <c r="C54" s="13" t="s">
        <v>72</v>
      </c>
      <c r="D54" s="13" t="s">
        <v>483</v>
      </c>
      <c r="E54" s="13" t="s">
        <v>58</v>
      </c>
      <c r="F54" s="13" t="s">
        <v>169</v>
      </c>
      <c r="G54" s="13" t="s">
        <v>484</v>
      </c>
      <c r="H54" s="13" t="s">
        <v>477</v>
      </c>
      <c r="I54" s="13" t="s">
        <v>485</v>
      </c>
      <c r="J54" s="13" t="s">
        <v>486</v>
      </c>
      <c r="K54" s="13" t="s">
        <v>487</v>
      </c>
      <c r="L54" s="13" t="s">
        <v>481</v>
      </c>
      <c r="M54" s="13" t="s">
        <v>49</v>
      </c>
      <c r="N54" s="13" t="s">
        <v>176</v>
      </c>
      <c r="O54" s="13" t="s">
        <v>177</v>
      </c>
      <c r="P54" s="13" t="s">
        <v>178</v>
      </c>
      <c r="Q54" s="13" t="s">
        <v>188</v>
      </c>
      <c r="R54" s="13"/>
      <c r="S54" s="13" t="s">
        <v>318</v>
      </c>
      <c r="T54" s="13" t="s">
        <v>438</v>
      </c>
    </row>
    <row r="55" spans="1:20" ht="149.25" customHeight="1" x14ac:dyDescent="0.3">
      <c r="A55" s="13" t="s">
        <v>488</v>
      </c>
      <c r="B55" s="13" t="s">
        <v>75</v>
      </c>
      <c r="C55" s="13" t="s">
        <v>72</v>
      </c>
      <c r="D55" s="13" t="s">
        <v>489</v>
      </c>
      <c r="E55" s="13" t="s">
        <v>58</v>
      </c>
      <c r="F55" s="13" t="s">
        <v>169</v>
      </c>
      <c r="G55" s="13" t="s">
        <v>490</v>
      </c>
      <c r="H55" s="13" t="s">
        <v>477</v>
      </c>
      <c r="I55" s="13" t="s">
        <v>491</v>
      </c>
      <c r="J55" s="13" t="s">
        <v>492</v>
      </c>
      <c r="K55" s="13" t="s">
        <v>487</v>
      </c>
      <c r="L55" s="13" t="s">
        <v>481</v>
      </c>
      <c r="M55" s="13" t="s">
        <v>49</v>
      </c>
      <c r="N55" s="13" t="s">
        <v>176</v>
      </c>
      <c r="O55" s="13" t="s">
        <v>177</v>
      </c>
      <c r="P55" s="13" t="s">
        <v>178</v>
      </c>
      <c r="Q55" s="13" t="s">
        <v>188</v>
      </c>
      <c r="R55" s="13"/>
      <c r="S55" s="13" t="s">
        <v>318</v>
      </c>
      <c r="T55" s="13" t="s">
        <v>438</v>
      </c>
    </row>
    <row r="56" spans="1:20" ht="149.25" customHeight="1" x14ac:dyDescent="0.3">
      <c r="A56" s="13" t="s">
        <v>493</v>
      </c>
      <c r="B56" s="13" t="s">
        <v>75</v>
      </c>
      <c r="C56" s="13" t="s">
        <v>72</v>
      </c>
      <c r="D56" s="13" t="s">
        <v>494</v>
      </c>
      <c r="E56" s="13" t="s">
        <v>237</v>
      </c>
      <c r="F56" s="13" t="s">
        <v>169</v>
      </c>
      <c r="G56" s="13" t="s">
        <v>495</v>
      </c>
      <c r="H56" s="13" t="s">
        <v>477</v>
      </c>
      <c r="I56" s="13" t="s">
        <v>496</v>
      </c>
      <c r="J56" s="13" t="s">
        <v>497</v>
      </c>
      <c r="K56" s="13" t="s">
        <v>498</v>
      </c>
      <c r="L56" s="13" t="s">
        <v>499</v>
      </c>
      <c r="M56" s="13" t="s">
        <v>49</v>
      </c>
      <c r="N56" s="13" t="s">
        <v>176</v>
      </c>
      <c r="O56" s="13" t="s">
        <v>177</v>
      </c>
      <c r="P56" s="13" t="s">
        <v>178</v>
      </c>
      <c r="Q56" s="13" t="s">
        <v>188</v>
      </c>
      <c r="R56" s="13"/>
      <c r="S56" s="13" t="s">
        <v>211</v>
      </c>
      <c r="T56" s="13" t="s">
        <v>438</v>
      </c>
    </row>
    <row r="57" spans="1:20" ht="149.25" customHeight="1" x14ac:dyDescent="0.3">
      <c r="A57" s="13" t="s">
        <v>500</v>
      </c>
      <c r="B57" s="13" t="s">
        <v>75</v>
      </c>
      <c r="C57" s="13" t="s">
        <v>72</v>
      </c>
      <c r="D57" s="13" t="s">
        <v>501</v>
      </c>
      <c r="E57" s="13" t="s">
        <v>237</v>
      </c>
      <c r="F57" s="13" t="s">
        <v>169</v>
      </c>
      <c r="G57" s="13" t="s">
        <v>502</v>
      </c>
      <c r="H57" s="13" t="s">
        <v>477</v>
      </c>
      <c r="I57" s="13" t="s">
        <v>503</v>
      </c>
      <c r="J57" s="13" t="s">
        <v>504</v>
      </c>
      <c r="K57" s="13" t="s">
        <v>505</v>
      </c>
      <c r="L57" s="13" t="s">
        <v>506</v>
      </c>
      <c r="M57" s="13" t="s">
        <v>49</v>
      </c>
      <c r="N57" s="13" t="s">
        <v>176</v>
      </c>
      <c r="O57" s="13" t="s">
        <v>177</v>
      </c>
      <c r="P57" s="13" t="s">
        <v>178</v>
      </c>
      <c r="Q57" s="13" t="s">
        <v>188</v>
      </c>
      <c r="R57" s="13"/>
      <c r="S57" s="13" t="s">
        <v>211</v>
      </c>
      <c r="T57" s="13" t="s">
        <v>438</v>
      </c>
    </row>
    <row r="58" spans="1:20" ht="149.25" customHeight="1" x14ac:dyDescent="0.3">
      <c r="A58" s="13" t="s">
        <v>507</v>
      </c>
      <c r="B58" s="13" t="s">
        <v>75</v>
      </c>
      <c r="C58" s="13" t="s">
        <v>72</v>
      </c>
      <c r="D58" s="13" t="s">
        <v>508</v>
      </c>
      <c r="E58" s="13" t="s">
        <v>58</v>
      </c>
      <c r="F58" s="13" t="s">
        <v>169</v>
      </c>
      <c r="G58" s="13" t="s">
        <v>509</v>
      </c>
      <c r="H58" s="13" t="s">
        <v>477</v>
      </c>
      <c r="I58" s="13" t="s">
        <v>510</v>
      </c>
      <c r="J58" s="13" t="s">
        <v>511</v>
      </c>
      <c r="K58" s="13" t="s">
        <v>512</v>
      </c>
      <c r="L58" s="13" t="s">
        <v>513</v>
      </c>
      <c r="M58" s="13" t="s">
        <v>49</v>
      </c>
      <c r="N58" s="13" t="s">
        <v>176</v>
      </c>
      <c r="O58" s="13" t="s">
        <v>177</v>
      </c>
      <c r="P58" s="13" t="s">
        <v>178</v>
      </c>
      <c r="Q58" s="13" t="s">
        <v>188</v>
      </c>
      <c r="R58" s="13"/>
      <c r="S58" s="13" t="s">
        <v>220</v>
      </c>
      <c r="T58" s="13" t="s">
        <v>438</v>
      </c>
    </row>
    <row r="59" spans="1:20" ht="149.25" customHeight="1" x14ac:dyDescent="0.3">
      <c r="A59" s="13" t="s">
        <v>514</v>
      </c>
      <c r="B59" s="13" t="s">
        <v>75</v>
      </c>
      <c r="C59" s="13" t="s">
        <v>72</v>
      </c>
      <c r="D59" s="13" t="s">
        <v>515</v>
      </c>
      <c r="E59" s="13" t="s">
        <v>58</v>
      </c>
      <c r="F59" s="13" t="s">
        <v>169</v>
      </c>
      <c r="G59" s="13" t="s">
        <v>516</v>
      </c>
      <c r="H59" s="13" t="s">
        <v>477</v>
      </c>
      <c r="I59" s="13" t="s">
        <v>517</v>
      </c>
      <c r="J59" s="13" t="s">
        <v>518</v>
      </c>
      <c r="K59" s="13" t="s">
        <v>519</v>
      </c>
      <c r="L59" s="13" t="s">
        <v>520</v>
      </c>
      <c r="M59" s="13" t="s">
        <v>49</v>
      </c>
      <c r="N59" s="13" t="s">
        <v>176</v>
      </c>
      <c r="O59" s="13" t="s">
        <v>177</v>
      </c>
      <c r="P59" s="13" t="s">
        <v>178</v>
      </c>
      <c r="Q59" s="13" t="s">
        <v>188</v>
      </c>
      <c r="R59" s="13"/>
      <c r="S59" s="13" t="s">
        <v>369</v>
      </c>
      <c r="T59" s="13" t="s">
        <v>438</v>
      </c>
    </row>
    <row r="60" spans="1:20" ht="149.25" customHeight="1" x14ac:dyDescent="0.3">
      <c r="A60" s="13" t="s">
        <v>521</v>
      </c>
      <c r="B60" s="13" t="s">
        <v>75</v>
      </c>
      <c r="C60" s="13" t="s">
        <v>72</v>
      </c>
      <c r="D60" s="13" t="s">
        <v>522</v>
      </c>
      <c r="E60" s="13" t="s">
        <v>58</v>
      </c>
      <c r="F60" s="13" t="s">
        <v>214</v>
      </c>
      <c r="G60" s="13" t="s">
        <v>215</v>
      </c>
      <c r="H60" s="13" t="s">
        <v>477</v>
      </c>
      <c r="I60" s="13" t="s">
        <v>523</v>
      </c>
      <c r="J60" s="13" t="s">
        <v>524</v>
      </c>
      <c r="K60" s="13" t="s">
        <v>525</v>
      </c>
      <c r="L60" s="13" t="s">
        <v>513</v>
      </c>
      <c r="M60" s="13" t="s">
        <v>49</v>
      </c>
      <c r="N60" s="13" t="s">
        <v>176</v>
      </c>
      <c r="O60" s="13" t="s">
        <v>219</v>
      </c>
      <c r="P60" s="13" t="s">
        <v>178</v>
      </c>
      <c r="Q60" s="13" t="s">
        <v>188</v>
      </c>
      <c r="R60" s="13"/>
      <c r="S60" s="13" t="s">
        <v>211</v>
      </c>
      <c r="T60" s="13" t="s">
        <v>438</v>
      </c>
    </row>
    <row r="61" spans="1:20" ht="149.25" customHeight="1" x14ac:dyDescent="0.3">
      <c r="A61" s="13" t="s">
        <v>526</v>
      </c>
      <c r="B61" s="13" t="s">
        <v>75</v>
      </c>
      <c r="C61" s="13" t="s">
        <v>72</v>
      </c>
      <c r="D61" s="13" t="s">
        <v>527</v>
      </c>
      <c r="E61" s="13" t="s">
        <v>237</v>
      </c>
      <c r="F61" s="13" t="s">
        <v>528</v>
      </c>
      <c r="G61" s="13" t="s">
        <v>529</v>
      </c>
      <c r="H61" s="13" t="s">
        <v>477</v>
      </c>
      <c r="I61" s="13" t="s">
        <v>530</v>
      </c>
      <c r="J61" s="13" t="s">
        <v>531</v>
      </c>
      <c r="K61" s="13" t="s">
        <v>532</v>
      </c>
      <c r="L61" s="13" t="s">
        <v>520</v>
      </c>
      <c r="M61" s="13" t="s">
        <v>49</v>
      </c>
      <c r="N61" s="13" t="s">
        <v>176</v>
      </c>
      <c r="O61" s="13" t="s">
        <v>195</v>
      </c>
      <c r="P61" s="13" t="s">
        <v>178</v>
      </c>
      <c r="Q61" s="13" t="s">
        <v>188</v>
      </c>
      <c r="R61" s="13"/>
      <c r="S61" s="13" t="s">
        <v>211</v>
      </c>
      <c r="T61" s="13" t="s">
        <v>438</v>
      </c>
    </row>
    <row r="62" spans="1:20" ht="149.25" customHeight="1" x14ac:dyDescent="0.3">
      <c r="A62" s="13" t="s">
        <v>533</v>
      </c>
      <c r="B62" s="13" t="s">
        <v>78</v>
      </c>
      <c r="C62" s="13" t="s">
        <v>72</v>
      </c>
      <c r="D62" s="13" t="s">
        <v>534</v>
      </c>
      <c r="E62" s="13" t="s">
        <v>58</v>
      </c>
      <c r="F62" s="13" t="s">
        <v>169</v>
      </c>
      <c r="G62" s="13" t="s">
        <v>183</v>
      </c>
      <c r="H62" s="13" t="s">
        <v>477</v>
      </c>
      <c r="I62" s="13" t="s">
        <v>535</v>
      </c>
      <c r="J62" s="13" t="s">
        <v>536</v>
      </c>
      <c r="K62" s="13" t="s">
        <v>537</v>
      </c>
      <c r="L62" s="13" t="s">
        <v>538</v>
      </c>
      <c r="M62" s="13" t="s">
        <v>49</v>
      </c>
      <c r="N62" s="13" t="s">
        <v>176</v>
      </c>
      <c r="O62" s="13" t="s">
        <v>177</v>
      </c>
      <c r="P62" s="13" t="s">
        <v>178</v>
      </c>
      <c r="Q62" s="13" t="s">
        <v>188</v>
      </c>
      <c r="R62" s="13"/>
      <c r="S62" s="13" t="s">
        <v>203</v>
      </c>
      <c r="T62" s="13" t="s">
        <v>438</v>
      </c>
    </row>
    <row r="63" spans="1:20" ht="149.25" customHeight="1" x14ac:dyDescent="0.3">
      <c r="A63" s="13" t="s">
        <v>539</v>
      </c>
      <c r="B63" s="13" t="s">
        <v>78</v>
      </c>
      <c r="C63" s="13" t="s">
        <v>72</v>
      </c>
      <c r="D63" s="13" t="s">
        <v>540</v>
      </c>
      <c r="E63" s="13" t="s">
        <v>58</v>
      </c>
      <c r="F63" s="13" t="s">
        <v>169</v>
      </c>
      <c r="G63" s="13" t="s">
        <v>541</v>
      </c>
      <c r="H63" s="13" t="s">
        <v>477</v>
      </c>
      <c r="I63" s="13" t="s">
        <v>542</v>
      </c>
      <c r="J63" s="13" t="s">
        <v>543</v>
      </c>
      <c r="K63" s="13" t="s">
        <v>544</v>
      </c>
      <c r="L63" s="13" t="s">
        <v>545</v>
      </c>
      <c r="M63" s="13" t="s">
        <v>49</v>
      </c>
      <c r="N63" s="13" t="s">
        <v>176</v>
      </c>
      <c r="O63" s="13" t="s">
        <v>177</v>
      </c>
      <c r="P63" s="13" t="s">
        <v>178</v>
      </c>
      <c r="Q63" s="13" t="s">
        <v>188</v>
      </c>
      <c r="R63" s="13"/>
      <c r="S63" s="13" t="s">
        <v>546</v>
      </c>
      <c r="T63" s="13" t="s">
        <v>438</v>
      </c>
    </row>
    <row r="64" spans="1:20" ht="149.25" customHeight="1" x14ac:dyDescent="0.3">
      <c r="A64" s="13" t="s">
        <v>547</v>
      </c>
      <c r="B64" s="13" t="s">
        <v>78</v>
      </c>
      <c r="C64" s="13" t="s">
        <v>72</v>
      </c>
      <c r="D64" s="13" t="s">
        <v>548</v>
      </c>
      <c r="E64" s="13" t="s">
        <v>237</v>
      </c>
      <c r="F64" s="13" t="s">
        <v>169</v>
      </c>
      <c r="G64" s="13" t="s">
        <v>549</v>
      </c>
      <c r="H64" s="13" t="s">
        <v>477</v>
      </c>
      <c r="I64" s="13" t="s">
        <v>550</v>
      </c>
      <c r="J64" s="13" t="s">
        <v>551</v>
      </c>
      <c r="K64" s="13" t="s">
        <v>552</v>
      </c>
      <c r="L64" s="13" t="s">
        <v>553</v>
      </c>
      <c r="M64" s="13" t="s">
        <v>49</v>
      </c>
      <c r="N64" s="13" t="s">
        <v>176</v>
      </c>
      <c r="O64" s="13" t="s">
        <v>177</v>
      </c>
      <c r="P64" s="13" t="s">
        <v>178</v>
      </c>
      <c r="Q64" s="13" t="s">
        <v>188</v>
      </c>
      <c r="R64" s="13"/>
      <c r="S64" s="13" t="s">
        <v>554</v>
      </c>
      <c r="T64" s="13" t="s">
        <v>438</v>
      </c>
    </row>
    <row r="65" spans="1:20" ht="149.25" customHeight="1" x14ac:dyDescent="0.3">
      <c r="A65" s="13" t="s">
        <v>555</v>
      </c>
      <c r="B65" s="13" t="s">
        <v>78</v>
      </c>
      <c r="C65" s="13" t="s">
        <v>72</v>
      </c>
      <c r="D65" s="13" t="s">
        <v>556</v>
      </c>
      <c r="E65" s="14" t="s">
        <v>54</v>
      </c>
      <c r="F65" s="13" t="s">
        <v>356</v>
      </c>
      <c r="G65" s="13" t="s">
        <v>406</v>
      </c>
      <c r="H65" s="13" t="s">
        <v>477</v>
      </c>
      <c r="I65" s="13" t="s">
        <v>557</v>
      </c>
      <c r="J65" s="13" t="s">
        <v>558</v>
      </c>
      <c r="K65" s="13" t="s">
        <v>559</v>
      </c>
      <c r="L65" s="13" t="s">
        <v>560</v>
      </c>
      <c r="M65" s="13" t="s">
        <v>49</v>
      </c>
      <c r="N65" s="13" t="s">
        <v>176</v>
      </c>
      <c r="O65" s="13" t="s">
        <v>177</v>
      </c>
      <c r="P65" s="13" t="s">
        <v>178</v>
      </c>
      <c r="Q65" s="13" t="s">
        <v>188</v>
      </c>
      <c r="R65" s="13"/>
      <c r="S65" s="13" t="s">
        <v>561</v>
      </c>
      <c r="T65" s="13" t="s">
        <v>438</v>
      </c>
    </row>
    <row r="66" spans="1:20" ht="122.25" customHeight="1" x14ac:dyDescent="0.3">
      <c r="A66" s="13" t="s">
        <v>562</v>
      </c>
      <c r="B66" s="13" t="s">
        <v>81</v>
      </c>
      <c r="C66" s="13" t="s">
        <v>72</v>
      </c>
      <c r="D66" s="13" t="s">
        <v>563</v>
      </c>
      <c r="E66" s="13" t="s">
        <v>237</v>
      </c>
      <c r="F66" s="13" t="s">
        <v>169</v>
      </c>
      <c r="G66" s="13" t="s">
        <v>564</v>
      </c>
      <c r="H66" s="13" t="s">
        <v>565</v>
      </c>
      <c r="I66" s="13" t="s">
        <v>434</v>
      </c>
      <c r="J66" s="13" t="s">
        <v>566</v>
      </c>
      <c r="K66" s="13" t="s">
        <v>567</v>
      </c>
      <c r="L66" s="13" t="s">
        <v>560</v>
      </c>
      <c r="M66" s="13" t="s">
        <v>49</v>
      </c>
      <c r="N66" s="13" t="s">
        <v>176</v>
      </c>
      <c r="O66" s="13" t="s">
        <v>177</v>
      </c>
      <c r="P66" s="13" t="s">
        <v>178</v>
      </c>
      <c r="Q66" s="13" t="s">
        <v>188</v>
      </c>
      <c r="R66" s="13"/>
      <c r="S66" s="13" t="s">
        <v>568</v>
      </c>
      <c r="T66" s="13" t="s">
        <v>438</v>
      </c>
    </row>
    <row r="67" spans="1:20" ht="122.25" customHeight="1" x14ac:dyDescent="0.3">
      <c r="A67" s="13" t="s">
        <v>569</v>
      </c>
      <c r="B67" s="13" t="s">
        <v>81</v>
      </c>
      <c r="C67" s="13" t="s">
        <v>72</v>
      </c>
      <c r="D67" s="13" t="s">
        <v>570</v>
      </c>
      <c r="E67" s="13" t="s">
        <v>58</v>
      </c>
      <c r="F67" s="13" t="s">
        <v>214</v>
      </c>
      <c r="G67" s="13" t="s">
        <v>227</v>
      </c>
      <c r="H67" s="13" t="s">
        <v>565</v>
      </c>
      <c r="I67" s="13" t="s">
        <v>571</v>
      </c>
      <c r="J67" s="13" t="s">
        <v>572</v>
      </c>
      <c r="K67" s="13" t="s">
        <v>573</v>
      </c>
      <c r="L67" s="13" t="s">
        <v>574</v>
      </c>
      <c r="M67" s="13" t="s">
        <v>49</v>
      </c>
      <c r="N67" s="13" t="s">
        <v>176</v>
      </c>
      <c r="O67" s="13" t="s">
        <v>219</v>
      </c>
      <c r="P67" s="13" t="s">
        <v>178</v>
      </c>
      <c r="Q67" s="13" t="s">
        <v>188</v>
      </c>
      <c r="R67" s="13"/>
      <c r="S67" s="13" t="s">
        <v>575</v>
      </c>
      <c r="T67" s="13" t="s">
        <v>438</v>
      </c>
    </row>
    <row r="68" spans="1:20" ht="122.25" customHeight="1" x14ac:dyDescent="0.3">
      <c r="A68" s="13" t="s">
        <v>576</v>
      </c>
      <c r="B68" s="13" t="s">
        <v>81</v>
      </c>
      <c r="C68" s="13" t="s">
        <v>72</v>
      </c>
      <c r="D68" s="13" t="s">
        <v>289</v>
      </c>
      <c r="E68" s="13" t="s">
        <v>58</v>
      </c>
      <c r="F68" s="13" t="s">
        <v>250</v>
      </c>
      <c r="G68" s="13" t="s">
        <v>251</v>
      </c>
      <c r="H68" s="13" t="s">
        <v>565</v>
      </c>
      <c r="I68" s="13" t="s">
        <v>577</v>
      </c>
      <c r="J68" s="13" t="s">
        <v>578</v>
      </c>
      <c r="K68" s="13" t="s">
        <v>579</v>
      </c>
      <c r="L68" s="13" t="s">
        <v>292</v>
      </c>
      <c r="M68" s="13" t="s">
        <v>49</v>
      </c>
      <c r="N68" s="13" t="s">
        <v>176</v>
      </c>
      <c r="O68" s="13" t="s">
        <v>177</v>
      </c>
      <c r="P68" s="13" t="s">
        <v>178</v>
      </c>
      <c r="Q68" s="13" t="s">
        <v>188</v>
      </c>
      <c r="R68" s="13"/>
      <c r="S68" s="13" t="s">
        <v>580</v>
      </c>
      <c r="T68" s="13" t="s">
        <v>438</v>
      </c>
    </row>
    <row r="69" spans="1:20" ht="122.25" customHeight="1" x14ac:dyDescent="0.3">
      <c r="A69" s="13" t="s">
        <v>581</v>
      </c>
      <c r="B69" s="13" t="s">
        <v>81</v>
      </c>
      <c r="C69" s="13" t="s">
        <v>72</v>
      </c>
      <c r="D69" s="13" t="s">
        <v>582</v>
      </c>
      <c r="E69" s="13" t="s">
        <v>58</v>
      </c>
      <c r="F69" s="13" t="s">
        <v>250</v>
      </c>
      <c r="G69" s="13" t="s">
        <v>251</v>
      </c>
      <c r="H69" s="13" t="s">
        <v>565</v>
      </c>
      <c r="I69" s="13" t="s">
        <v>583</v>
      </c>
      <c r="J69" s="13" t="s">
        <v>584</v>
      </c>
      <c r="K69" s="13" t="s">
        <v>585</v>
      </c>
      <c r="L69" s="13" t="s">
        <v>586</v>
      </c>
      <c r="M69" s="13" t="s">
        <v>49</v>
      </c>
      <c r="N69" s="13" t="s">
        <v>176</v>
      </c>
      <c r="O69" s="13" t="s">
        <v>177</v>
      </c>
      <c r="P69" s="13" t="s">
        <v>178</v>
      </c>
      <c r="Q69" s="13" t="s">
        <v>188</v>
      </c>
      <c r="R69" s="13"/>
      <c r="S69" s="13" t="s">
        <v>580</v>
      </c>
      <c r="T69" s="13" t="s">
        <v>438</v>
      </c>
    </row>
    <row r="70" spans="1:20" ht="122.25" customHeight="1" x14ac:dyDescent="0.3">
      <c r="A70" s="13" t="s">
        <v>587</v>
      </c>
      <c r="B70" s="13" t="s">
        <v>81</v>
      </c>
      <c r="C70" s="13" t="s">
        <v>72</v>
      </c>
      <c r="D70" s="13" t="s">
        <v>588</v>
      </c>
      <c r="E70" s="13" t="s">
        <v>237</v>
      </c>
      <c r="F70" s="13" t="s">
        <v>250</v>
      </c>
      <c r="G70" s="13" t="s">
        <v>251</v>
      </c>
      <c r="H70" s="13" t="s">
        <v>565</v>
      </c>
      <c r="I70" s="13" t="s">
        <v>589</v>
      </c>
      <c r="J70" s="13" t="s">
        <v>590</v>
      </c>
      <c r="K70" s="13" t="s">
        <v>591</v>
      </c>
      <c r="L70" s="13" t="s">
        <v>592</v>
      </c>
      <c r="M70" s="13" t="s">
        <v>49</v>
      </c>
      <c r="N70" s="13" t="s">
        <v>176</v>
      </c>
      <c r="O70" s="13" t="s">
        <v>177</v>
      </c>
      <c r="P70" s="13" t="s">
        <v>178</v>
      </c>
      <c r="Q70" s="13" t="s">
        <v>188</v>
      </c>
      <c r="R70" s="13"/>
      <c r="S70" s="13" t="s">
        <v>580</v>
      </c>
      <c r="T70" s="13" t="s">
        <v>438</v>
      </c>
    </row>
    <row r="71" spans="1:20" ht="122.25" customHeight="1" x14ac:dyDescent="0.3">
      <c r="A71" s="13" t="s">
        <v>593</v>
      </c>
      <c r="B71" s="13" t="s">
        <v>81</v>
      </c>
      <c r="C71" s="13" t="s">
        <v>72</v>
      </c>
      <c r="D71" s="13" t="s">
        <v>594</v>
      </c>
      <c r="E71" s="13" t="s">
        <v>237</v>
      </c>
      <c r="F71" s="13" t="s">
        <v>250</v>
      </c>
      <c r="G71" s="13" t="s">
        <v>595</v>
      </c>
      <c r="H71" s="13" t="s">
        <v>565</v>
      </c>
      <c r="I71" s="13" t="s">
        <v>596</v>
      </c>
      <c r="J71" s="13" t="s">
        <v>597</v>
      </c>
      <c r="K71" s="13" t="s">
        <v>598</v>
      </c>
      <c r="L71" s="13" t="s">
        <v>599</v>
      </c>
      <c r="M71" s="13" t="s">
        <v>49</v>
      </c>
      <c r="N71" s="13" t="s">
        <v>176</v>
      </c>
      <c r="O71" s="13" t="s">
        <v>177</v>
      </c>
      <c r="P71" s="13" t="s">
        <v>178</v>
      </c>
      <c r="Q71" s="13" t="s">
        <v>188</v>
      </c>
      <c r="R71" s="13"/>
      <c r="S71" s="13" t="s">
        <v>334</v>
      </c>
      <c r="T71" s="13" t="s">
        <v>438</v>
      </c>
    </row>
    <row r="72" spans="1:20" ht="122.25" customHeight="1" x14ac:dyDescent="0.3">
      <c r="A72" s="13" t="s">
        <v>600</v>
      </c>
      <c r="B72" s="13" t="s">
        <v>81</v>
      </c>
      <c r="C72" s="13" t="s">
        <v>72</v>
      </c>
      <c r="D72" s="13" t="s">
        <v>320</v>
      </c>
      <c r="E72" s="14" t="s">
        <v>54</v>
      </c>
      <c r="F72" s="13" t="s">
        <v>321</v>
      </c>
      <c r="G72" s="13" t="s">
        <v>322</v>
      </c>
      <c r="H72" s="13" t="s">
        <v>565</v>
      </c>
      <c r="I72" s="13" t="s">
        <v>601</v>
      </c>
      <c r="J72" s="13" t="s">
        <v>602</v>
      </c>
      <c r="K72" s="13" t="s">
        <v>603</v>
      </c>
      <c r="L72" s="13" t="s">
        <v>604</v>
      </c>
      <c r="M72" s="13" t="s">
        <v>49</v>
      </c>
      <c r="N72" s="13" t="s">
        <v>176</v>
      </c>
      <c r="O72" s="13" t="s">
        <v>177</v>
      </c>
      <c r="P72" s="13" t="s">
        <v>178</v>
      </c>
      <c r="Q72" s="13" t="s">
        <v>178</v>
      </c>
      <c r="R72" s="13"/>
      <c r="S72" s="13" t="s">
        <v>334</v>
      </c>
      <c r="T72" s="13" t="s">
        <v>438</v>
      </c>
    </row>
    <row r="73" spans="1:20" ht="135.75" customHeight="1" x14ac:dyDescent="0.3">
      <c r="A73" s="13" t="s">
        <v>605</v>
      </c>
      <c r="B73" s="13" t="s">
        <v>84</v>
      </c>
      <c r="C73" s="13" t="s">
        <v>85</v>
      </c>
      <c r="D73" s="13" t="s">
        <v>606</v>
      </c>
      <c r="E73" s="14" t="s">
        <v>54</v>
      </c>
      <c r="F73" s="13" t="s">
        <v>169</v>
      </c>
      <c r="G73" s="13" t="s">
        <v>607</v>
      </c>
      <c r="H73" s="13" t="s">
        <v>608</v>
      </c>
      <c r="I73" s="13" t="s">
        <v>609</v>
      </c>
      <c r="J73" s="13" t="s">
        <v>610</v>
      </c>
      <c r="K73" s="13" t="s">
        <v>611</v>
      </c>
      <c r="L73" s="13" t="s">
        <v>612</v>
      </c>
      <c r="M73" s="13" t="s">
        <v>49</v>
      </c>
      <c r="N73" s="13" t="s">
        <v>176</v>
      </c>
      <c r="O73" s="13" t="s">
        <v>177</v>
      </c>
      <c r="P73" s="13" t="s">
        <v>178</v>
      </c>
      <c r="Q73" s="13" t="s">
        <v>178</v>
      </c>
      <c r="R73" s="13"/>
      <c r="S73" s="13" t="s">
        <v>196</v>
      </c>
      <c r="T73" s="13" t="s">
        <v>613</v>
      </c>
    </row>
    <row r="74" spans="1:20" ht="135.75" customHeight="1" x14ac:dyDescent="0.3">
      <c r="A74" s="13" t="s">
        <v>614</v>
      </c>
      <c r="B74" s="13" t="s">
        <v>84</v>
      </c>
      <c r="C74" s="13" t="s">
        <v>85</v>
      </c>
      <c r="D74" s="13" t="s">
        <v>615</v>
      </c>
      <c r="E74" s="14" t="s">
        <v>54</v>
      </c>
      <c r="F74" s="13" t="s">
        <v>169</v>
      </c>
      <c r="G74" s="13" t="s">
        <v>616</v>
      </c>
      <c r="H74" s="13" t="s">
        <v>617</v>
      </c>
      <c r="I74" s="13" t="s">
        <v>618</v>
      </c>
      <c r="J74" s="13" t="s">
        <v>619</v>
      </c>
      <c r="K74" s="13" t="s">
        <v>620</v>
      </c>
      <c r="L74" s="13" t="s">
        <v>621</v>
      </c>
      <c r="M74" s="13" t="s">
        <v>49</v>
      </c>
      <c r="N74" s="13" t="s">
        <v>176</v>
      </c>
      <c r="O74" s="13" t="s">
        <v>177</v>
      </c>
      <c r="P74" s="13" t="s">
        <v>178</v>
      </c>
      <c r="Q74" s="13" t="s">
        <v>188</v>
      </c>
      <c r="R74" s="13"/>
      <c r="S74" s="13" t="s">
        <v>189</v>
      </c>
      <c r="T74" s="13" t="s">
        <v>613</v>
      </c>
    </row>
    <row r="75" spans="1:20" ht="135.75" customHeight="1" x14ac:dyDescent="0.3">
      <c r="A75" s="13" t="s">
        <v>622</v>
      </c>
      <c r="B75" s="13" t="s">
        <v>84</v>
      </c>
      <c r="C75" s="13" t="s">
        <v>85</v>
      </c>
      <c r="D75" s="13" t="s">
        <v>623</v>
      </c>
      <c r="E75" s="13" t="s">
        <v>58</v>
      </c>
      <c r="F75" s="13" t="s">
        <v>624</v>
      </c>
      <c r="G75" s="13" t="s">
        <v>625</v>
      </c>
      <c r="H75" s="13" t="s">
        <v>626</v>
      </c>
      <c r="I75" s="13" t="s">
        <v>627</v>
      </c>
      <c r="J75" s="13" t="s">
        <v>628</v>
      </c>
      <c r="K75" s="13" t="s">
        <v>629</v>
      </c>
      <c r="L75" s="13" t="s">
        <v>630</v>
      </c>
      <c r="M75" s="13" t="s">
        <v>49</v>
      </c>
      <c r="N75" s="13" t="s">
        <v>176</v>
      </c>
      <c r="O75" s="13" t="s">
        <v>177</v>
      </c>
      <c r="P75" s="13" t="s">
        <v>178</v>
      </c>
      <c r="Q75" s="13" t="s">
        <v>188</v>
      </c>
      <c r="R75" s="13"/>
      <c r="S75" s="13" t="s">
        <v>631</v>
      </c>
      <c r="T75" s="13" t="s">
        <v>613</v>
      </c>
    </row>
    <row r="76" spans="1:20" ht="122.25" customHeight="1" x14ac:dyDescent="0.3">
      <c r="A76" s="13" t="s">
        <v>632</v>
      </c>
      <c r="B76" s="13" t="s">
        <v>84</v>
      </c>
      <c r="C76" s="13" t="s">
        <v>85</v>
      </c>
      <c r="D76" s="13" t="s">
        <v>633</v>
      </c>
      <c r="E76" s="13" t="s">
        <v>237</v>
      </c>
      <c r="F76" s="13" t="s">
        <v>341</v>
      </c>
      <c r="G76" s="13" t="s">
        <v>634</v>
      </c>
      <c r="H76" s="13" t="s">
        <v>635</v>
      </c>
      <c r="I76" s="13" t="s">
        <v>636</v>
      </c>
      <c r="J76" s="13" t="s">
        <v>637</v>
      </c>
      <c r="K76" s="13" t="s">
        <v>638</v>
      </c>
      <c r="L76" s="13" t="s">
        <v>639</v>
      </c>
      <c r="M76" s="13" t="s">
        <v>49</v>
      </c>
      <c r="N76" s="13" t="s">
        <v>176</v>
      </c>
      <c r="O76" s="13" t="s">
        <v>195</v>
      </c>
      <c r="P76" s="13" t="s">
        <v>178</v>
      </c>
      <c r="Q76" s="13" t="s">
        <v>188</v>
      </c>
      <c r="R76" s="13"/>
      <c r="S76" s="13" t="s">
        <v>640</v>
      </c>
      <c r="T76" s="13" t="s">
        <v>613</v>
      </c>
    </row>
    <row r="77" spans="1:20" ht="135.75" customHeight="1" x14ac:dyDescent="0.3">
      <c r="A77" s="13" t="s">
        <v>641</v>
      </c>
      <c r="B77" s="13" t="s">
        <v>84</v>
      </c>
      <c r="C77" s="13" t="s">
        <v>85</v>
      </c>
      <c r="D77" s="13" t="s">
        <v>642</v>
      </c>
      <c r="E77" s="13" t="s">
        <v>58</v>
      </c>
      <c r="F77" s="13" t="s">
        <v>341</v>
      </c>
      <c r="G77" s="13" t="s">
        <v>643</v>
      </c>
      <c r="H77" s="13" t="s">
        <v>644</v>
      </c>
      <c r="I77" s="13" t="s">
        <v>645</v>
      </c>
      <c r="J77" s="13" t="s">
        <v>646</v>
      </c>
      <c r="K77" s="13" t="s">
        <v>647</v>
      </c>
      <c r="L77" s="13" t="s">
        <v>648</v>
      </c>
      <c r="M77" s="13" t="s">
        <v>49</v>
      </c>
      <c r="N77" s="13" t="s">
        <v>176</v>
      </c>
      <c r="O77" s="13" t="s">
        <v>195</v>
      </c>
      <c r="P77" s="13" t="s">
        <v>178</v>
      </c>
      <c r="Q77" s="13" t="s">
        <v>188</v>
      </c>
      <c r="R77" s="13"/>
      <c r="S77" s="13" t="s">
        <v>649</v>
      </c>
      <c r="T77" s="13" t="s">
        <v>613</v>
      </c>
    </row>
    <row r="78" spans="1:20" ht="108.75" customHeight="1" x14ac:dyDescent="0.3">
      <c r="A78" s="13" t="s">
        <v>650</v>
      </c>
      <c r="B78" s="13" t="s">
        <v>88</v>
      </c>
      <c r="C78" s="13" t="s">
        <v>85</v>
      </c>
      <c r="D78" s="13" t="s">
        <v>651</v>
      </c>
      <c r="E78" s="13" t="s">
        <v>58</v>
      </c>
      <c r="F78" s="13" t="s">
        <v>624</v>
      </c>
      <c r="G78" s="13" t="s">
        <v>652</v>
      </c>
      <c r="H78" s="13" t="s">
        <v>171</v>
      </c>
      <c r="I78" s="13" t="s">
        <v>653</v>
      </c>
      <c r="J78" s="13" t="s">
        <v>654</v>
      </c>
      <c r="K78" s="13" t="s">
        <v>655</v>
      </c>
      <c r="L78" s="13" t="s">
        <v>656</v>
      </c>
      <c r="M78" s="13" t="s">
        <v>49</v>
      </c>
      <c r="N78" s="13" t="s">
        <v>176</v>
      </c>
      <c r="O78" s="13" t="s">
        <v>177</v>
      </c>
      <c r="P78" s="13" t="s">
        <v>178</v>
      </c>
      <c r="Q78" s="13" t="s">
        <v>188</v>
      </c>
      <c r="R78" s="13"/>
      <c r="S78" s="13" t="s">
        <v>580</v>
      </c>
      <c r="T78" s="13" t="s">
        <v>613</v>
      </c>
    </row>
    <row r="79" spans="1:20" ht="108.75" customHeight="1" x14ac:dyDescent="0.3">
      <c r="A79" s="13" t="s">
        <v>657</v>
      </c>
      <c r="B79" s="13" t="s">
        <v>88</v>
      </c>
      <c r="C79" s="13" t="s">
        <v>85</v>
      </c>
      <c r="D79" s="13" t="s">
        <v>658</v>
      </c>
      <c r="E79" s="13" t="s">
        <v>237</v>
      </c>
      <c r="F79" s="13" t="s">
        <v>250</v>
      </c>
      <c r="G79" s="13" t="s">
        <v>659</v>
      </c>
      <c r="H79" s="13" t="s">
        <v>171</v>
      </c>
      <c r="I79" s="13" t="s">
        <v>660</v>
      </c>
      <c r="J79" s="13" t="s">
        <v>661</v>
      </c>
      <c r="K79" s="13" t="s">
        <v>662</v>
      </c>
      <c r="L79" s="13" t="s">
        <v>663</v>
      </c>
      <c r="M79" s="13" t="s">
        <v>49</v>
      </c>
      <c r="N79" s="13" t="s">
        <v>176</v>
      </c>
      <c r="O79" s="13" t="s">
        <v>195</v>
      </c>
      <c r="P79" s="13" t="s">
        <v>178</v>
      </c>
      <c r="Q79" s="13" t="s">
        <v>188</v>
      </c>
      <c r="R79" s="13"/>
      <c r="S79" s="13" t="s">
        <v>580</v>
      </c>
      <c r="T79" s="13" t="s">
        <v>613</v>
      </c>
    </row>
    <row r="80" spans="1:20" ht="149.25" customHeight="1" x14ac:dyDescent="0.3">
      <c r="A80" s="13" t="s">
        <v>664</v>
      </c>
      <c r="B80" s="13" t="s">
        <v>88</v>
      </c>
      <c r="C80" s="13" t="s">
        <v>85</v>
      </c>
      <c r="D80" s="13" t="s">
        <v>665</v>
      </c>
      <c r="E80" s="14" t="s">
        <v>54</v>
      </c>
      <c r="F80" s="13" t="s">
        <v>356</v>
      </c>
      <c r="G80" s="13" t="s">
        <v>666</v>
      </c>
      <c r="H80" s="13" t="s">
        <v>667</v>
      </c>
      <c r="I80" s="13" t="s">
        <v>668</v>
      </c>
      <c r="J80" s="13" t="s">
        <v>669</v>
      </c>
      <c r="K80" s="13" t="s">
        <v>670</v>
      </c>
      <c r="L80" s="13" t="s">
        <v>671</v>
      </c>
      <c r="M80" s="13" t="s">
        <v>49</v>
      </c>
      <c r="N80" s="13" t="s">
        <v>176</v>
      </c>
      <c r="O80" s="13" t="s">
        <v>177</v>
      </c>
      <c r="P80" s="13" t="s">
        <v>178</v>
      </c>
      <c r="Q80" s="13" t="s">
        <v>178</v>
      </c>
      <c r="R80" s="13"/>
      <c r="S80" s="13" t="s">
        <v>672</v>
      </c>
      <c r="T80" s="13" t="s">
        <v>613</v>
      </c>
    </row>
    <row r="81" spans="1:20" ht="135.75" customHeight="1" x14ac:dyDescent="0.3">
      <c r="A81" s="13" t="s">
        <v>673</v>
      </c>
      <c r="B81" s="13" t="s">
        <v>88</v>
      </c>
      <c r="C81" s="13" t="s">
        <v>85</v>
      </c>
      <c r="D81" s="13" t="s">
        <v>674</v>
      </c>
      <c r="E81" s="13" t="s">
        <v>58</v>
      </c>
      <c r="F81" s="13" t="s">
        <v>356</v>
      </c>
      <c r="G81" s="13" t="s">
        <v>675</v>
      </c>
      <c r="H81" s="13" t="s">
        <v>676</v>
      </c>
      <c r="I81" s="13" t="s">
        <v>677</v>
      </c>
      <c r="J81" s="13" t="s">
        <v>678</v>
      </c>
      <c r="K81" s="13" t="s">
        <v>679</v>
      </c>
      <c r="L81" s="13" t="s">
        <v>680</v>
      </c>
      <c r="M81" s="13" t="s">
        <v>49</v>
      </c>
      <c r="N81" s="13" t="s">
        <v>176</v>
      </c>
      <c r="O81" s="13" t="s">
        <v>177</v>
      </c>
      <c r="P81" s="13" t="s">
        <v>178</v>
      </c>
      <c r="Q81" s="13" t="s">
        <v>188</v>
      </c>
      <c r="R81" s="13"/>
      <c r="S81" s="13" t="s">
        <v>318</v>
      </c>
      <c r="T81" s="13" t="s">
        <v>613</v>
      </c>
    </row>
    <row r="82" spans="1:20" ht="122.25" customHeight="1" x14ac:dyDescent="0.3">
      <c r="A82" s="13" t="s">
        <v>681</v>
      </c>
      <c r="B82" s="13" t="s">
        <v>88</v>
      </c>
      <c r="C82" s="13" t="s">
        <v>85</v>
      </c>
      <c r="D82" s="13" t="s">
        <v>682</v>
      </c>
      <c r="E82" s="14" t="s">
        <v>54</v>
      </c>
      <c r="F82" s="13" t="s">
        <v>321</v>
      </c>
      <c r="G82" s="13" t="s">
        <v>322</v>
      </c>
      <c r="H82" s="13" t="s">
        <v>683</v>
      </c>
      <c r="I82" s="13" t="s">
        <v>684</v>
      </c>
      <c r="J82" s="13" t="s">
        <v>685</v>
      </c>
      <c r="K82" s="13" t="s">
        <v>686</v>
      </c>
      <c r="L82" s="13" t="s">
        <v>604</v>
      </c>
      <c r="M82" s="13" t="s">
        <v>49</v>
      </c>
      <c r="N82" s="13" t="s">
        <v>176</v>
      </c>
      <c r="O82" s="13" t="s">
        <v>177</v>
      </c>
      <c r="P82" s="13" t="s">
        <v>178</v>
      </c>
      <c r="Q82" s="13" t="s">
        <v>188</v>
      </c>
      <c r="R82" s="13"/>
      <c r="S82" s="13" t="s">
        <v>334</v>
      </c>
      <c r="T82" s="13" t="s">
        <v>613</v>
      </c>
    </row>
    <row r="83" spans="1:20" ht="108.75" customHeight="1" x14ac:dyDescent="0.3">
      <c r="A83" s="13" t="s">
        <v>687</v>
      </c>
      <c r="B83" s="13" t="s">
        <v>88</v>
      </c>
      <c r="C83" s="13" t="s">
        <v>85</v>
      </c>
      <c r="D83" s="13" t="s">
        <v>688</v>
      </c>
      <c r="E83" s="13" t="s">
        <v>355</v>
      </c>
      <c r="F83" s="13" t="s">
        <v>356</v>
      </c>
      <c r="G83" s="13" t="s">
        <v>689</v>
      </c>
      <c r="H83" s="13" t="s">
        <v>171</v>
      </c>
      <c r="I83" s="13" t="s">
        <v>690</v>
      </c>
      <c r="J83" s="13" t="s">
        <v>691</v>
      </c>
      <c r="K83" s="13" t="s">
        <v>692</v>
      </c>
      <c r="L83" s="13" t="s">
        <v>693</v>
      </c>
      <c r="M83" s="13" t="s">
        <v>49</v>
      </c>
      <c r="N83" s="13" t="s">
        <v>176</v>
      </c>
      <c r="O83" s="13" t="s">
        <v>177</v>
      </c>
      <c r="P83" s="13" t="s">
        <v>178</v>
      </c>
      <c r="Q83" s="13" t="s">
        <v>188</v>
      </c>
      <c r="R83" s="13"/>
      <c r="S83" s="13" t="s">
        <v>334</v>
      </c>
      <c r="T83" s="13" t="s">
        <v>613</v>
      </c>
    </row>
    <row r="84" spans="1:20" ht="135.75" customHeight="1" x14ac:dyDescent="0.3">
      <c r="A84" s="13" t="s">
        <v>694</v>
      </c>
      <c r="B84" s="13" t="s">
        <v>91</v>
      </c>
      <c r="C84" s="13" t="s">
        <v>92</v>
      </c>
      <c r="D84" s="13" t="s">
        <v>695</v>
      </c>
      <c r="E84" s="14" t="s">
        <v>54</v>
      </c>
      <c r="F84" s="13" t="s">
        <v>169</v>
      </c>
      <c r="G84" s="13" t="s">
        <v>170</v>
      </c>
      <c r="H84" s="13" t="s">
        <v>696</v>
      </c>
      <c r="I84" s="13" t="s">
        <v>697</v>
      </c>
      <c r="J84" s="13" t="s">
        <v>698</v>
      </c>
      <c r="K84" s="13" t="s">
        <v>699</v>
      </c>
      <c r="L84" s="13" t="s">
        <v>700</v>
      </c>
      <c r="M84" s="13" t="s">
        <v>49</v>
      </c>
      <c r="N84" s="13" t="s">
        <v>176</v>
      </c>
      <c r="O84" s="13" t="s">
        <v>177</v>
      </c>
      <c r="P84" s="13" t="s">
        <v>178</v>
      </c>
      <c r="Q84" s="13" t="s">
        <v>178</v>
      </c>
      <c r="R84" s="13"/>
      <c r="S84" s="13" t="s">
        <v>196</v>
      </c>
      <c r="T84" s="13" t="s">
        <v>701</v>
      </c>
    </row>
    <row r="85" spans="1:20" ht="95.25" customHeight="1" x14ac:dyDescent="0.3">
      <c r="A85" s="13" t="s">
        <v>702</v>
      </c>
      <c r="B85" s="13" t="s">
        <v>91</v>
      </c>
      <c r="C85" s="13" t="s">
        <v>92</v>
      </c>
      <c r="D85" s="13" t="s">
        <v>703</v>
      </c>
      <c r="E85" s="13" t="s">
        <v>58</v>
      </c>
      <c r="F85" s="13" t="s">
        <v>169</v>
      </c>
      <c r="G85" s="13" t="s">
        <v>183</v>
      </c>
      <c r="H85" s="13" t="s">
        <v>696</v>
      </c>
      <c r="I85" s="13" t="s">
        <v>704</v>
      </c>
      <c r="J85" s="13" t="s">
        <v>705</v>
      </c>
      <c r="K85" s="13" t="s">
        <v>706</v>
      </c>
      <c r="L85" s="13" t="s">
        <v>707</v>
      </c>
      <c r="M85" s="13" t="s">
        <v>49</v>
      </c>
      <c r="N85" s="13" t="s">
        <v>176</v>
      </c>
      <c r="O85" s="13" t="s">
        <v>177</v>
      </c>
      <c r="P85" s="13" t="s">
        <v>178</v>
      </c>
      <c r="Q85" s="13" t="s">
        <v>188</v>
      </c>
      <c r="R85" s="13"/>
      <c r="S85" s="13" t="s">
        <v>189</v>
      </c>
      <c r="T85" s="13" t="s">
        <v>701</v>
      </c>
    </row>
    <row r="86" spans="1:20" ht="95.25" customHeight="1" x14ac:dyDescent="0.3">
      <c r="A86" s="13" t="s">
        <v>708</v>
      </c>
      <c r="B86" s="13" t="s">
        <v>91</v>
      </c>
      <c r="C86" s="13" t="s">
        <v>92</v>
      </c>
      <c r="D86" s="13" t="s">
        <v>709</v>
      </c>
      <c r="E86" s="13" t="s">
        <v>237</v>
      </c>
      <c r="F86" s="13" t="s">
        <v>169</v>
      </c>
      <c r="G86" s="13" t="s">
        <v>199</v>
      </c>
      <c r="H86" s="13" t="s">
        <v>696</v>
      </c>
      <c r="I86" s="13" t="s">
        <v>710</v>
      </c>
      <c r="J86" s="13" t="s">
        <v>711</v>
      </c>
      <c r="K86" s="13" t="s">
        <v>712</v>
      </c>
      <c r="L86" s="13" t="s">
        <v>713</v>
      </c>
      <c r="M86" s="13" t="s">
        <v>49</v>
      </c>
      <c r="N86" s="13" t="s">
        <v>176</v>
      </c>
      <c r="O86" s="13" t="s">
        <v>177</v>
      </c>
      <c r="P86" s="13" t="s">
        <v>178</v>
      </c>
      <c r="Q86" s="13" t="s">
        <v>188</v>
      </c>
      <c r="R86" s="13"/>
      <c r="S86" s="13" t="s">
        <v>211</v>
      </c>
      <c r="T86" s="13" t="s">
        <v>701</v>
      </c>
    </row>
    <row r="87" spans="1:20" ht="95.25" customHeight="1" x14ac:dyDescent="0.3">
      <c r="A87" s="13" t="s">
        <v>714</v>
      </c>
      <c r="B87" s="13" t="s">
        <v>91</v>
      </c>
      <c r="C87" s="13" t="s">
        <v>92</v>
      </c>
      <c r="D87" s="13" t="s">
        <v>715</v>
      </c>
      <c r="E87" s="13" t="s">
        <v>58</v>
      </c>
      <c r="F87" s="13" t="s">
        <v>169</v>
      </c>
      <c r="G87" s="13" t="s">
        <v>716</v>
      </c>
      <c r="H87" s="13" t="s">
        <v>696</v>
      </c>
      <c r="I87" s="13" t="s">
        <v>717</v>
      </c>
      <c r="J87" s="13" t="s">
        <v>718</v>
      </c>
      <c r="K87" s="13" t="s">
        <v>719</v>
      </c>
      <c r="L87" s="13" t="s">
        <v>720</v>
      </c>
      <c r="M87" s="13" t="s">
        <v>49</v>
      </c>
      <c r="N87" s="13" t="s">
        <v>176</v>
      </c>
      <c r="O87" s="13" t="s">
        <v>177</v>
      </c>
      <c r="P87" s="13" t="s">
        <v>178</v>
      </c>
      <c r="Q87" s="13" t="s">
        <v>188</v>
      </c>
      <c r="R87" s="13"/>
      <c r="S87" s="13" t="s">
        <v>721</v>
      </c>
      <c r="T87" s="13" t="s">
        <v>701</v>
      </c>
    </row>
    <row r="88" spans="1:20" ht="122.25" customHeight="1" x14ac:dyDescent="0.3">
      <c r="A88" s="13" t="s">
        <v>722</v>
      </c>
      <c r="B88" s="13" t="s">
        <v>91</v>
      </c>
      <c r="C88" s="13" t="s">
        <v>92</v>
      </c>
      <c r="D88" s="13" t="s">
        <v>723</v>
      </c>
      <c r="E88" s="13" t="s">
        <v>58</v>
      </c>
      <c r="F88" s="13" t="s">
        <v>341</v>
      </c>
      <c r="G88" s="13" t="s">
        <v>724</v>
      </c>
      <c r="H88" s="13" t="s">
        <v>696</v>
      </c>
      <c r="I88" s="13" t="s">
        <v>725</v>
      </c>
      <c r="J88" s="13" t="s">
        <v>726</v>
      </c>
      <c r="K88" s="13" t="s">
        <v>727</v>
      </c>
      <c r="L88" s="13" t="s">
        <v>728</v>
      </c>
      <c r="M88" s="13" t="s">
        <v>49</v>
      </c>
      <c r="N88" s="13" t="s">
        <v>176</v>
      </c>
      <c r="O88" s="13" t="s">
        <v>177</v>
      </c>
      <c r="P88" s="13" t="s">
        <v>178</v>
      </c>
      <c r="Q88" s="13" t="s">
        <v>188</v>
      </c>
      <c r="R88" s="13"/>
      <c r="S88" s="13" t="s">
        <v>729</v>
      </c>
      <c r="T88" s="13" t="s">
        <v>701</v>
      </c>
    </row>
    <row r="89" spans="1:20" ht="95.25" customHeight="1" x14ac:dyDescent="0.3">
      <c r="A89" s="13" t="s">
        <v>730</v>
      </c>
      <c r="B89" s="13" t="s">
        <v>95</v>
      </c>
      <c r="C89" s="13" t="s">
        <v>92</v>
      </c>
      <c r="D89" s="13" t="s">
        <v>731</v>
      </c>
      <c r="E89" s="13" t="s">
        <v>58</v>
      </c>
      <c r="F89" s="13" t="s">
        <v>214</v>
      </c>
      <c r="G89" s="13" t="s">
        <v>732</v>
      </c>
      <c r="H89" s="13" t="s">
        <v>696</v>
      </c>
      <c r="I89" s="13" t="s">
        <v>733</v>
      </c>
      <c r="J89" s="13" t="s">
        <v>734</v>
      </c>
      <c r="K89" s="13" t="s">
        <v>735</v>
      </c>
      <c r="L89" s="13" t="s">
        <v>736</v>
      </c>
      <c r="M89" s="13" t="s">
        <v>49</v>
      </c>
      <c r="N89" s="13" t="s">
        <v>176</v>
      </c>
      <c r="O89" s="13" t="s">
        <v>219</v>
      </c>
      <c r="P89" s="13" t="s">
        <v>178</v>
      </c>
      <c r="Q89" s="13" t="s">
        <v>188</v>
      </c>
      <c r="R89" s="13"/>
      <c r="S89" s="13" t="s">
        <v>203</v>
      </c>
      <c r="T89" s="13" t="s">
        <v>701</v>
      </c>
    </row>
    <row r="90" spans="1:20" ht="95.25" customHeight="1" x14ac:dyDescent="0.3">
      <c r="A90" s="13" t="s">
        <v>737</v>
      </c>
      <c r="B90" s="13" t="s">
        <v>95</v>
      </c>
      <c r="C90" s="13" t="s">
        <v>92</v>
      </c>
      <c r="D90" s="13" t="s">
        <v>738</v>
      </c>
      <c r="E90" s="13" t="s">
        <v>58</v>
      </c>
      <c r="F90" s="13" t="s">
        <v>214</v>
      </c>
      <c r="G90" s="13" t="s">
        <v>739</v>
      </c>
      <c r="H90" s="13" t="s">
        <v>696</v>
      </c>
      <c r="I90" s="13" t="s">
        <v>740</v>
      </c>
      <c r="J90" s="13" t="s">
        <v>741</v>
      </c>
      <c r="K90" s="13" t="s">
        <v>742</v>
      </c>
      <c r="L90" s="13" t="s">
        <v>743</v>
      </c>
      <c r="M90" s="13" t="s">
        <v>49</v>
      </c>
      <c r="N90" s="13" t="s">
        <v>176</v>
      </c>
      <c r="O90" s="13" t="s">
        <v>219</v>
      </c>
      <c r="P90" s="13" t="s">
        <v>178</v>
      </c>
      <c r="Q90" s="13" t="s">
        <v>188</v>
      </c>
      <c r="R90" s="13"/>
      <c r="S90" s="13" t="s">
        <v>203</v>
      </c>
      <c r="T90" s="13" t="s">
        <v>701</v>
      </c>
    </row>
    <row r="91" spans="1:20" ht="95.25" customHeight="1" x14ac:dyDescent="0.3">
      <c r="A91" s="13" t="s">
        <v>744</v>
      </c>
      <c r="B91" s="13" t="s">
        <v>95</v>
      </c>
      <c r="C91" s="13" t="s">
        <v>92</v>
      </c>
      <c r="D91" s="13" t="s">
        <v>745</v>
      </c>
      <c r="E91" s="13" t="s">
        <v>58</v>
      </c>
      <c r="F91" s="13" t="s">
        <v>214</v>
      </c>
      <c r="G91" s="13" t="s">
        <v>746</v>
      </c>
      <c r="H91" s="13" t="s">
        <v>696</v>
      </c>
      <c r="I91" s="13" t="s">
        <v>747</v>
      </c>
      <c r="J91" s="13" t="s">
        <v>748</v>
      </c>
      <c r="K91" s="13" t="s">
        <v>749</v>
      </c>
      <c r="L91" s="13" t="s">
        <v>750</v>
      </c>
      <c r="M91" s="13" t="s">
        <v>49</v>
      </c>
      <c r="N91" s="13" t="s">
        <v>176</v>
      </c>
      <c r="O91" s="13" t="s">
        <v>219</v>
      </c>
      <c r="P91" s="13" t="s">
        <v>178</v>
      </c>
      <c r="Q91" s="13" t="s">
        <v>188</v>
      </c>
      <c r="R91" s="13"/>
      <c r="S91" s="13" t="s">
        <v>203</v>
      </c>
      <c r="T91" s="13" t="s">
        <v>701</v>
      </c>
    </row>
    <row r="92" spans="1:20" ht="95.25" customHeight="1" x14ac:dyDescent="0.3">
      <c r="A92" s="13" t="s">
        <v>751</v>
      </c>
      <c r="B92" s="13" t="s">
        <v>95</v>
      </c>
      <c r="C92" s="13" t="s">
        <v>92</v>
      </c>
      <c r="D92" s="13" t="s">
        <v>752</v>
      </c>
      <c r="E92" s="13" t="s">
        <v>58</v>
      </c>
      <c r="F92" s="13" t="s">
        <v>214</v>
      </c>
      <c r="G92" s="13" t="s">
        <v>753</v>
      </c>
      <c r="H92" s="13" t="s">
        <v>696</v>
      </c>
      <c r="I92" s="13" t="s">
        <v>754</v>
      </c>
      <c r="J92" s="13" t="s">
        <v>755</v>
      </c>
      <c r="K92" s="13" t="s">
        <v>749</v>
      </c>
      <c r="L92" s="13" t="s">
        <v>750</v>
      </c>
      <c r="M92" s="13" t="s">
        <v>49</v>
      </c>
      <c r="N92" s="13" t="s">
        <v>176</v>
      </c>
      <c r="O92" s="13" t="s">
        <v>219</v>
      </c>
      <c r="P92" s="13" t="s">
        <v>178</v>
      </c>
      <c r="Q92" s="13" t="s">
        <v>188</v>
      </c>
      <c r="R92" s="13"/>
      <c r="S92" s="13" t="s">
        <v>203</v>
      </c>
      <c r="T92" s="13" t="s">
        <v>701</v>
      </c>
    </row>
    <row r="93" spans="1:20" ht="95.25" customHeight="1" x14ac:dyDescent="0.3">
      <c r="A93" s="13" t="s">
        <v>756</v>
      </c>
      <c r="B93" s="13" t="s">
        <v>95</v>
      </c>
      <c r="C93" s="13" t="s">
        <v>92</v>
      </c>
      <c r="D93" s="13" t="s">
        <v>757</v>
      </c>
      <c r="E93" s="13" t="s">
        <v>58</v>
      </c>
      <c r="F93" s="13" t="s">
        <v>250</v>
      </c>
      <c r="G93" s="13" t="s">
        <v>758</v>
      </c>
      <c r="H93" s="13" t="s">
        <v>696</v>
      </c>
      <c r="I93" s="13" t="s">
        <v>759</v>
      </c>
      <c r="J93" s="13" t="s">
        <v>760</v>
      </c>
      <c r="K93" s="13" t="s">
        <v>761</v>
      </c>
      <c r="L93" s="13" t="s">
        <v>750</v>
      </c>
      <c r="M93" s="13" t="s">
        <v>49</v>
      </c>
      <c r="N93" s="13" t="s">
        <v>176</v>
      </c>
      <c r="O93" s="13" t="s">
        <v>177</v>
      </c>
      <c r="P93" s="13" t="s">
        <v>178</v>
      </c>
      <c r="Q93" s="13" t="s">
        <v>188</v>
      </c>
      <c r="R93" s="13"/>
      <c r="S93" s="13" t="s">
        <v>318</v>
      </c>
      <c r="T93" s="13" t="s">
        <v>701</v>
      </c>
    </row>
    <row r="94" spans="1:20" ht="95.25" customHeight="1" x14ac:dyDescent="0.3">
      <c r="A94" s="13" t="s">
        <v>762</v>
      </c>
      <c r="B94" s="13" t="s">
        <v>95</v>
      </c>
      <c r="C94" s="13" t="s">
        <v>92</v>
      </c>
      <c r="D94" s="13" t="s">
        <v>763</v>
      </c>
      <c r="E94" s="13" t="s">
        <v>58</v>
      </c>
      <c r="F94" s="13" t="s">
        <v>250</v>
      </c>
      <c r="G94" s="13" t="s">
        <v>764</v>
      </c>
      <c r="H94" s="13" t="s">
        <v>696</v>
      </c>
      <c r="I94" s="13" t="s">
        <v>765</v>
      </c>
      <c r="J94" s="13" t="s">
        <v>766</v>
      </c>
      <c r="K94" s="13" t="s">
        <v>749</v>
      </c>
      <c r="L94" s="13" t="s">
        <v>750</v>
      </c>
      <c r="M94" s="13" t="s">
        <v>49</v>
      </c>
      <c r="N94" s="13" t="s">
        <v>176</v>
      </c>
      <c r="O94" s="13" t="s">
        <v>177</v>
      </c>
      <c r="P94" s="13" t="s">
        <v>178</v>
      </c>
      <c r="Q94" s="13" t="s">
        <v>188</v>
      </c>
      <c r="R94" s="13"/>
      <c r="S94" s="13" t="s">
        <v>318</v>
      </c>
      <c r="T94" s="13" t="s">
        <v>701</v>
      </c>
    </row>
    <row r="95" spans="1:20" ht="95.25" customHeight="1" x14ac:dyDescent="0.3">
      <c r="A95" s="13" t="s">
        <v>767</v>
      </c>
      <c r="B95" s="13" t="s">
        <v>95</v>
      </c>
      <c r="C95" s="13" t="s">
        <v>92</v>
      </c>
      <c r="D95" s="13" t="s">
        <v>768</v>
      </c>
      <c r="E95" s="13" t="s">
        <v>237</v>
      </c>
      <c r="F95" s="13" t="s">
        <v>250</v>
      </c>
      <c r="G95" s="13" t="s">
        <v>262</v>
      </c>
      <c r="H95" s="13" t="s">
        <v>696</v>
      </c>
      <c r="I95" s="13" t="s">
        <v>769</v>
      </c>
      <c r="J95" s="13" t="s">
        <v>770</v>
      </c>
      <c r="K95" s="13" t="s">
        <v>771</v>
      </c>
      <c r="L95" s="13" t="s">
        <v>772</v>
      </c>
      <c r="M95" s="13" t="s">
        <v>49</v>
      </c>
      <c r="N95" s="13" t="s">
        <v>176</v>
      </c>
      <c r="O95" s="13" t="s">
        <v>177</v>
      </c>
      <c r="P95" s="13" t="s">
        <v>178</v>
      </c>
      <c r="Q95" s="13" t="s">
        <v>188</v>
      </c>
      <c r="R95" s="13"/>
      <c r="S95" s="13" t="s">
        <v>211</v>
      </c>
      <c r="T95" s="13" t="s">
        <v>701</v>
      </c>
    </row>
    <row r="96" spans="1:20" ht="95.25" customHeight="1" x14ac:dyDescent="0.3">
      <c r="A96" s="13" t="s">
        <v>773</v>
      </c>
      <c r="B96" s="13" t="s">
        <v>98</v>
      </c>
      <c r="C96" s="13" t="s">
        <v>92</v>
      </c>
      <c r="D96" s="13" t="s">
        <v>774</v>
      </c>
      <c r="E96" s="14" t="s">
        <v>54</v>
      </c>
      <c r="F96" s="13" t="s">
        <v>321</v>
      </c>
      <c r="G96" s="13" t="s">
        <v>401</v>
      </c>
      <c r="H96" s="13" t="s">
        <v>696</v>
      </c>
      <c r="I96" s="13" t="s">
        <v>775</v>
      </c>
      <c r="J96" s="13" t="s">
        <v>776</v>
      </c>
      <c r="K96" s="13" t="s">
        <v>777</v>
      </c>
      <c r="L96" s="13" t="s">
        <v>778</v>
      </c>
      <c r="M96" s="13" t="s">
        <v>49</v>
      </c>
      <c r="N96" s="13" t="s">
        <v>176</v>
      </c>
      <c r="O96" s="13" t="s">
        <v>195</v>
      </c>
      <c r="P96" s="13" t="s">
        <v>178</v>
      </c>
      <c r="Q96" s="13" t="s">
        <v>188</v>
      </c>
      <c r="R96" s="13"/>
      <c r="S96" s="13" t="s">
        <v>779</v>
      </c>
      <c r="T96" s="13" t="s">
        <v>701</v>
      </c>
    </row>
    <row r="97" spans="1:20" ht="95.25" customHeight="1" x14ac:dyDescent="0.3">
      <c r="A97" s="13" t="s">
        <v>780</v>
      </c>
      <c r="B97" s="13" t="s">
        <v>98</v>
      </c>
      <c r="C97" s="13" t="s">
        <v>92</v>
      </c>
      <c r="D97" s="13" t="s">
        <v>781</v>
      </c>
      <c r="E97" s="13" t="s">
        <v>58</v>
      </c>
      <c r="F97" s="13" t="s">
        <v>624</v>
      </c>
      <c r="G97" s="13" t="s">
        <v>782</v>
      </c>
      <c r="H97" s="13" t="s">
        <v>696</v>
      </c>
      <c r="I97" s="13" t="s">
        <v>783</v>
      </c>
      <c r="J97" s="13" t="s">
        <v>784</v>
      </c>
      <c r="K97" s="13" t="s">
        <v>785</v>
      </c>
      <c r="L97" s="13" t="s">
        <v>786</v>
      </c>
      <c r="M97" s="13" t="s">
        <v>49</v>
      </c>
      <c r="N97" s="13" t="s">
        <v>176</v>
      </c>
      <c r="O97" s="13" t="s">
        <v>177</v>
      </c>
      <c r="P97" s="13" t="s">
        <v>178</v>
      </c>
      <c r="Q97" s="13" t="s">
        <v>188</v>
      </c>
      <c r="R97" s="13"/>
      <c r="S97" s="13" t="s">
        <v>334</v>
      </c>
      <c r="T97" s="13" t="s">
        <v>701</v>
      </c>
    </row>
    <row r="98" spans="1:20" ht="95.25" customHeight="1" x14ac:dyDescent="0.3">
      <c r="A98" s="13" t="s">
        <v>787</v>
      </c>
      <c r="B98" s="13" t="s">
        <v>98</v>
      </c>
      <c r="C98" s="13" t="s">
        <v>92</v>
      </c>
      <c r="D98" s="13" t="s">
        <v>788</v>
      </c>
      <c r="E98" s="13" t="s">
        <v>237</v>
      </c>
      <c r="F98" s="13" t="s">
        <v>250</v>
      </c>
      <c r="G98" s="13" t="s">
        <v>262</v>
      </c>
      <c r="H98" s="13" t="s">
        <v>696</v>
      </c>
      <c r="I98" s="13" t="s">
        <v>789</v>
      </c>
      <c r="J98" s="13" t="s">
        <v>790</v>
      </c>
      <c r="K98" s="13" t="s">
        <v>791</v>
      </c>
      <c r="L98" s="13" t="s">
        <v>792</v>
      </c>
      <c r="M98" s="13" t="s">
        <v>49</v>
      </c>
      <c r="N98" s="13" t="s">
        <v>176</v>
      </c>
      <c r="O98" s="13" t="s">
        <v>177</v>
      </c>
      <c r="P98" s="13" t="s">
        <v>178</v>
      </c>
      <c r="Q98" s="13" t="s">
        <v>188</v>
      </c>
      <c r="R98" s="13"/>
      <c r="S98" s="13" t="s">
        <v>211</v>
      </c>
      <c r="T98" s="13" t="s">
        <v>701</v>
      </c>
    </row>
    <row r="99" spans="1:20" ht="108.75" customHeight="1" x14ac:dyDescent="0.3">
      <c r="A99" s="13" t="s">
        <v>793</v>
      </c>
      <c r="B99" s="13" t="s">
        <v>98</v>
      </c>
      <c r="C99" s="13" t="s">
        <v>92</v>
      </c>
      <c r="D99" s="13" t="s">
        <v>794</v>
      </c>
      <c r="E99" s="13" t="s">
        <v>237</v>
      </c>
      <c r="F99" s="13" t="s">
        <v>250</v>
      </c>
      <c r="G99" s="13" t="s">
        <v>233</v>
      </c>
      <c r="H99" s="13" t="s">
        <v>696</v>
      </c>
      <c r="I99" s="13" t="s">
        <v>795</v>
      </c>
      <c r="J99" s="13" t="s">
        <v>796</v>
      </c>
      <c r="K99" s="13" t="s">
        <v>797</v>
      </c>
      <c r="L99" s="13" t="s">
        <v>798</v>
      </c>
      <c r="M99" s="13" t="s">
        <v>49</v>
      </c>
      <c r="N99" s="13" t="s">
        <v>176</v>
      </c>
      <c r="O99" s="13" t="s">
        <v>219</v>
      </c>
      <c r="P99" s="13" t="s">
        <v>178</v>
      </c>
      <c r="Q99" s="13" t="s">
        <v>188</v>
      </c>
      <c r="R99" s="13"/>
      <c r="S99" s="13" t="s">
        <v>211</v>
      </c>
      <c r="T99" s="13" t="s">
        <v>701</v>
      </c>
    </row>
    <row r="100" spans="1:20" ht="95.25" customHeight="1" x14ac:dyDescent="0.3">
      <c r="A100" s="13" t="s">
        <v>799</v>
      </c>
      <c r="B100" s="13" t="s">
        <v>98</v>
      </c>
      <c r="C100" s="13" t="s">
        <v>92</v>
      </c>
      <c r="D100" s="13" t="s">
        <v>800</v>
      </c>
      <c r="E100" s="13" t="s">
        <v>237</v>
      </c>
      <c r="F100" s="13" t="s">
        <v>250</v>
      </c>
      <c r="G100" s="13" t="s">
        <v>227</v>
      </c>
      <c r="H100" s="13" t="s">
        <v>696</v>
      </c>
      <c r="I100" s="13" t="s">
        <v>801</v>
      </c>
      <c r="J100" s="13" t="s">
        <v>802</v>
      </c>
      <c r="K100" s="13" t="s">
        <v>803</v>
      </c>
      <c r="L100" s="13" t="s">
        <v>798</v>
      </c>
      <c r="M100" s="13" t="s">
        <v>49</v>
      </c>
      <c r="N100" s="13" t="s">
        <v>176</v>
      </c>
      <c r="O100" s="13" t="s">
        <v>195</v>
      </c>
      <c r="P100" s="13" t="s">
        <v>178</v>
      </c>
      <c r="Q100" s="13" t="s">
        <v>188</v>
      </c>
      <c r="R100" s="13"/>
      <c r="S100" s="13" t="s">
        <v>211</v>
      </c>
      <c r="T100" s="13" t="s">
        <v>701</v>
      </c>
    </row>
    <row r="101" spans="1:20" ht="108.75" customHeight="1" x14ac:dyDescent="0.3">
      <c r="A101" s="13" t="s">
        <v>804</v>
      </c>
      <c r="B101" s="13" t="s">
        <v>98</v>
      </c>
      <c r="C101" s="13" t="s">
        <v>92</v>
      </c>
      <c r="D101" s="13" t="s">
        <v>805</v>
      </c>
      <c r="E101" s="13" t="s">
        <v>237</v>
      </c>
      <c r="F101" s="13" t="s">
        <v>214</v>
      </c>
      <c r="G101" s="13" t="s">
        <v>806</v>
      </c>
      <c r="H101" s="13" t="s">
        <v>696</v>
      </c>
      <c r="I101" s="13" t="s">
        <v>807</v>
      </c>
      <c r="J101" s="13" t="s">
        <v>808</v>
      </c>
      <c r="K101" s="13" t="s">
        <v>809</v>
      </c>
      <c r="L101" s="13" t="s">
        <v>810</v>
      </c>
      <c r="M101" s="13" t="s">
        <v>49</v>
      </c>
      <c r="N101" s="13" t="s">
        <v>176</v>
      </c>
      <c r="O101" s="13" t="s">
        <v>219</v>
      </c>
      <c r="P101" s="13" t="s">
        <v>178</v>
      </c>
      <c r="Q101" s="13" t="s">
        <v>188</v>
      </c>
      <c r="R101" s="13"/>
      <c r="S101" s="13" t="s">
        <v>211</v>
      </c>
      <c r="T101" s="13" t="s">
        <v>701</v>
      </c>
    </row>
    <row r="102" spans="1:20" ht="95.25" customHeight="1" x14ac:dyDescent="0.3">
      <c r="A102" s="13" t="s">
        <v>811</v>
      </c>
      <c r="B102" s="13" t="s">
        <v>98</v>
      </c>
      <c r="C102" s="13" t="s">
        <v>92</v>
      </c>
      <c r="D102" s="13" t="s">
        <v>313</v>
      </c>
      <c r="E102" s="13" t="s">
        <v>237</v>
      </c>
      <c r="F102" s="13" t="s">
        <v>250</v>
      </c>
      <c r="G102" s="13" t="s">
        <v>314</v>
      </c>
      <c r="H102" s="13" t="s">
        <v>696</v>
      </c>
      <c r="I102" s="13" t="s">
        <v>812</v>
      </c>
      <c r="J102" s="13" t="s">
        <v>813</v>
      </c>
      <c r="K102" s="13" t="s">
        <v>814</v>
      </c>
      <c r="L102" s="13" t="s">
        <v>815</v>
      </c>
      <c r="M102" s="13" t="s">
        <v>49</v>
      </c>
      <c r="N102" s="13" t="s">
        <v>176</v>
      </c>
      <c r="O102" s="13" t="s">
        <v>177</v>
      </c>
      <c r="P102" s="13" t="s">
        <v>178</v>
      </c>
      <c r="Q102" s="13" t="s">
        <v>188</v>
      </c>
      <c r="R102" s="13"/>
      <c r="S102" s="13" t="s">
        <v>816</v>
      </c>
      <c r="T102" s="13" t="s">
        <v>701</v>
      </c>
    </row>
    <row r="103" spans="1:20" ht="95.25" customHeight="1" x14ac:dyDescent="0.3">
      <c r="A103" s="13" t="s">
        <v>817</v>
      </c>
      <c r="B103" s="13" t="s">
        <v>98</v>
      </c>
      <c r="C103" s="13" t="s">
        <v>92</v>
      </c>
      <c r="D103" s="13" t="s">
        <v>320</v>
      </c>
      <c r="E103" s="14" t="s">
        <v>54</v>
      </c>
      <c r="F103" s="13" t="s">
        <v>321</v>
      </c>
      <c r="G103" s="13" t="s">
        <v>322</v>
      </c>
      <c r="H103" s="13" t="s">
        <v>696</v>
      </c>
      <c r="I103" s="13" t="s">
        <v>818</v>
      </c>
      <c r="J103" s="13" t="s">
        <v>819</v>
      </c>
      <c r="K103" s="13" t="s">
        <v>820</v>
      </c>
      <c r="L103" s="13" t="s">
        <v>821</v>
      </c>
      <c r="M103" s="13" t="s">
        <v>49</v>
      </c>
      <c r="N103" s="13" t="s">
        <v>176</v>
      </c>
      <c r="O103" s="13" t="s">
        <v>177</v>
      </c>
      <c r="P103" s="13" t="s">
        <v>178</v>
      </c>
      <c r="Q103" s="13" t="s">
        <v>178</v>
      </c>
      <c r="R103" s="13"/>
      <c r="S103" s="13" t="s">
        <v>334</v>
      </c>
      <c r="T103" s="13" t="s">
        <v>701</v>
      </c>
    </row>
    <row r="104" spans="1:20" ht="95.25" customHeight="1" x14ac:dyDescent="0.3">
      <c r="A104" s="13" t="s">
        <v>822</v>
      </c>
      <c r="B104" s="13" t="s">
        <v>98</v>
      </c>
      <c r="C104" s="13" t="s">
        <v>92</v>
      </c>
      <c r="D104" s="13" t="s">
        <v>823</v>
      </c>
      <c r="E104" s="13" t="s">
        <v>237</v>
      </c>
      <c r="F104" s="13" t="s">
        <v>250</v>
      </c>
      <c r="G104" s="13" t="s">
        <v>330</v>
      </c>
      <c r="H104" s="13" t="s">
        <v>696</v>
      </c>
      <c r="I104" s="13" t="s">
        <v>824</v>
      </c>
      <c r="J104" s="13" t="s">
        <v>825</v>
      </c>
      <c r="K104" s="13" t="s">
        <v>826</v>
      </c>
      <c r="L104" s="13" t="s">
        <v>827</v>
      </c>
      <c r="M104" s="13" t="s">
        <v>49</v>
      </c>
      <c r="N104" s="13" t="s">
        <v>176</v>
      </c>
      <c r="O104" s="13" t="s">
        <v>195</v>
      </c>
      <c r="P104" s="13" t="s">
        <v>178</v>
      </c>
      <c r="Q104" s="13" t="s">
        <v>188</v>
      </c>
      <c r="R104" s="13"/>
      <c r="S104" s="13" t="s">
        <v>334</v>
      </c>
      <c r="T104" s="13" t="s">
        <v>701</v>
      </c>
    </row>
    <row r="105" spans="1:20" ht="95.25" customHeight="1" x14ac:dyDescent="0.3">
      <c r="A105" s="13" t="s">
        <v>828</v>
      </c>
      <c r="B105" s="13" t="s">
        <v>101</v>
      </c>
      <c r="C105" s="13" t="s">
        <v>92</v>
      </c>
      <c r="D105" s="13" t="s">
        <v>829</v>
      </c>
      <c r="E105" s="13" t="s">
        <v>58</v>
      </c>
      <c r="F105" s="13" t="s">
        <v>414</v>
      </c>
      <c r="G105" s="13" t="s">
        <v>830</v>
      </c>
      <c r="H105" s="13" t="s">
        <v>696</v>
      </c>
      <c r="I105" s="13" t="s">
        <v>831</v>
      </c>
      <c r="J105" s="13" t="s">
        <v>832</v>
      </c>
      <c r="K105" s="13" t="s">
        <v>833</v>
      </c>
      <c r="L105" s="13" t="s">
        <v>834</v>
      </c>
      <c r="M105" s="13" t="s">
        <v>49</v>
      </c>
      <c r="N105" s="13" t="s">
        <v>176</v>
      </c>
      <c r="O105" s="13" t="s">
        <v>219</v>
      </c>
      <c r="P105" s="13" t="s">
        <v>178</v>
      </c>
      <c r="Q105" s="13" t="s">
        <v>188</v>
      </c>
      <c r="R105" s="13"/>
      <c r="S105" s="13" t="s">
        <v>253</v>
      </c>
      <c r="T105" s="13" t="s">
        <v>701</v>
      </c>
    </row>
    <row r="106" spans="1:20" ht="95.25" customHeight="1" x14ac:dyDescent="0.3">
      <c r="A106" s="13" t="s">
        <v>835</v>
      </c>
      <c r="B106" s="13" t="s">
        <v>101</v>
      </c>
      <c r="C106" s="13" t="s">
        <v>92</v>
      </c>
      <c r="D106" s="13" t="s">
        <v>836</v>
      </c>
      <c r="E106" s="14" t="s">
        <v>54</v>
      </c>
      <c r="F106" s="13" t="s">
        <v>414</v>
      </c>
      <c r="G106" s="13" t="s">
        <v>837</v>
      </c>
      <c r="H106" s="13" t="s">
        <v>696</v>
      </c>
      <c r="I106" s="13" t="s">
        <v>838</v>
      </c>
      <c r="J106" s="13" t="s">
        <v>839</v>
      </c>
      <c r="K106" s="13" t="s">
        <v>840</v>
      </c>
      <c r="L106" s="13" t="s">
        <v>841</v>
      </c>
      <c r="M106" s="13" t="s">
        <v>49</v>
      </c>
      <c r="N106" s="13" t="s">
        <v>176</v>
      </c>
      <c r="O106" s="13" t="s">
        <v>219</v>
      </c>
      <c r="P106" s="13" t="s">
        <v>178</v>
      </c>
      <c r="Q106" s="13" t="s">
        <v>178</v>
      </c>
      <c r="R106" s="13"/>
      <c r="S106" s="13" t="s">
        <v>575</v>
      </c>
      <c r="T106" s="13" t="s">
        <v>701</v>
      </c>
    </row>
    <row r="107" spans="1:20" ht="122.25" customHeight="1" x14ac:dyDescent="0.3">
      <c r="A107" s="13" t="s">
        <v>842</v>
      </c>
      <c r="B107" s="13" t="s">
        <v>101</v>
      </c>
      <c r="C107" s="13" t="s">
        <v>92</v>
      </c>
      <c r="D107" s="13" t="s">
        <v>843</v>
      </c>
      <c r="E107" s="14" t="s">
        <v>54</v>
      </c>
      <c r="F107" s="13" t="s">
        <v>414</v>
      </c>
      <c r="G107" s="13" t="s">
        <v>844</v>
      </c>
      <c r="H107" s="13" t="s">
        <v>696</v>
      </c>
      <c r="I107" s="13" t="s">
        <v>845</v>
      </c>
      <c r="J107" s="13" t="s">
        <v>846</v>
      </c>
      <c r="K107" s="13" t="s">
        <v>847</v>
      </c>
      <c r="L107" s="13" t="s">
        <v>848</v>
      </c>
      <c r="M107" s="13" t="s">
        <v>49</v>
      </c>
      <c r="N107" s="13" t="s">
        <v>176</v>
      </c>
      <c r="O107" s="13" t="s">
        <v>219</v>
      </c>
      <c r="P107" s="13" t="s">
        <v>178</v>
      </c>
      <c r="Q107" s="13" t="s">
        <v>188</v>
      </c>
      <c r="R107" s="13"/>
      <c r="S107" s="13" t="s">
        <v>369</v>
      </c>
      <c r="T107" s="13" t="s">
        <v>701</v>
      </c>
    </row>
    <row r="108" spans="1:20" ht="135.75" customHeight="1" x14ac:dyDescent="0.3">
      <c r="A108" s="13" t="s">
        <v>849</v>
      </c>
      <c r="B108" s="13" t="s">
        <v>101</v>
      </c>
      <c r="C108" s="13" t="s">
        <v>92</v>
      </c>
      <c r="D108" s="13" t="s">
        <v>850</v>
      </c>
      <c r="E108" s="13" t="s">
        <v>58</v>
      </c>
      <c r="F108" s="13" t="s">
        <v>341</v>
      </c>
      <c r="G108" s="13" t="s">
        <v>851</v>
      </c>
      <c r="H108" s="13" t="s">
        <v>696</v>
      </c>
      <c r="I108" s="13" t="s">
        <v>852</v>
      </c>
      <c r="J108" s="13" t="s">
        <v>846</v>
      </c>
      <c r="K108" s="13" t="s">
        <v>853</v>
      </c>
      <c r="L108" s="13" t="s">
        <v>854</v>
      </c>
      <c r="M108" s="13" t="s">
        <v>49</v>
      </c>
      <c r="N108" s="13" t="s">
        <v>176</v>
      </c>
      <c r="O108" s="13" t="s">
        <v>177</v>
      </c>
      <c r="P108" s="13" t="s">
        <v>178</v>
      </c>
      <c r="Q108" s="13" t="s">
        <v>188</v>
      </c>
      <c r="R108" s="13"/>
      <c r="S108" s="13" t="s">
        <v>369</v>
      </c>
      <c r="T108" s="13" t="s">
        <v>701</v>
      </c>
    </row>
    <row r="109" spans="1:20" ht="135.75" customHeight="1" x14ac:dyDescent="0.3">
      <c r="A109" s="13" t="s">
        <v>855</v>
      </c>
      <c r="B109" s="13" t="s">
        <v>101</v>
      </c>
      <c r="C109" s="13" t="s">
        <v>92</v>
      </c>
      <c r="D109" s="13" t="s">
        <v>856</v>
      </c>
      <c r="E109" s="14" t="s">
        <v>54</v>
      </c>
      <c r="F109" s="13" t="s">
        <v>341</v>
      </c>
      <c r="G109" s="13" t="s">
        <v>857</v>
      </c>
      <c r="H109" s="13" t="s">
        <v>696</v>
      </c>
      <c r="I109" s="13" t="s">
        <v>858</v>
      </c>
      <c r="J109" s="13" t="s">
        <v>846</v>
      </c>
      <c r="K109" s="13" t="s">
        <v>859</v>
      </c>
      <c r="L109" s="13" t="s">
        <v>860</v>
      </c>
      <c r="M109" s="13" t="s">
        <v>49</v>
      </c>
      <c r="N109" s="13" t="s">
        <v>176</v>
      </c>
      <c r="O109" s="13" t="s">
        <v>177</v>
      </c>
      <c r="P109" s="13" t="s">
        <v>178</v>
      </c>
      <c r="Q109" s="13" t="s">
        <v>188</v>
      </c>
      <c r="R109" s="13"/>
      <c r="S109" s="13" t="s">
        <v>384</v>
      </c>
      <c r="T109" s="13" t="s">
        <v>701</v>
      </c>
    </row>
    <row r="110" spans="1:20" ht="122.25" customHeight="1" x14ac:dyDescent="0.3">
      <c r="A110" s="13" t="s">
        <v>861</v>
      </c>
      <c r="B110" s="13" t="s">
        <v>101</v>
      </c>
      <c r="C110" s="13" t="s">
        <v>92</v>
      </c>
      <c r="D110" s="13" t="s">
        <v>862</v>
      </c>
      <c r="E110" s="13" t="s">
        <v>237</v>
      </c>
      <c r="F110" s="13" t="s">
        <v>341</v>
      </c>
      <c r="G110" s="13" t="s">
        <v>863</v>
      </c>
      <c r="H110" s="13" t="s">
        <v>696</v>
      </c>
      <c r="I110" s="13" t="s">
        <v>864</v>
      </c>
      <c r="J110" s="13" t="s">
        <v>865</v>
      </c>
      <c r="K110" s="13" t="s">
        <v>866</v>
      </c>
      <c r="L110" s="13" t="s">
        <v>867</v>
      </c>
      <c r="M110" s="13" t="s">
        <v>49</v>
      </c>
      <c r="N110" s="13" t="s">
        <v>176</v>
      </c>
      <c r="O110" s="13" t="s">
        <v>195</v>
      </c>
      <c r="P110" s="13" t="s">
        <v>178</v>
      </c>
      <c r="Q110" s="13" t="s">
        <v>188</v>
      </c>
      <c r="R110" s="13"/>
      <c r="S110" s="13" t="s">
        <v>868</v>
      </c>
      <c r="T110" s="13" t="s">
        <v>701</v>
      </c>
    </row>
    <row r="111" spans="1:20" ht="108.75" customHeight="1" x14ac:dyDescent="0.3">
      <c r="A111" s="13" t="s">
        <v>869</v>
      </c>
      <c r="B111" s="13" t="s">
        <v>104</v>
      </c>
      <c r="C111" s="13" t="s">
        <v>105</v>
      </c>
      <c r="D111" s="13" t="s">
        <v>870</v>
      </c>
      <c r="E111" s="14" t="s">
        <v>54</v>
      </c>
      <c r="F111" s="13" t="s">
        <v>169</v>
      </c>
      <c r="G111" s="13" t="s">
        <v>871</v>
      </c>
      <c r="H111" s="13" t="s">
        <v>696</v>
      </c>
      <c r="I111" s="13" t="s">
        <v>872</v>
      </c>
      <c r="J111" s="13" t="s">
        <v>873</v>
      </c>
      <c r="K111" s="13" t="s">
        <v>874</v>
      </c>
      <c r="L111" s="13" t="s">
        <v>875</v>
      </c>
      <c r="M111" s="13" t="s">
        <v>49</v>
      </c>
      <c r="N111" s="13" t="s">
        <v>176</v>
      </c>
      <c r="O111" s="13" t="s">
        <v>177</v>
      </c>
      <c r="P111" s="13" t="s">
        <v>178</v>
      </c>
      <c r="Q111" s="13" t="s">
        <v>178</v>
      </c>
      <c r="R111" s="13"/>
      <c r="S111" s="13" t="s">
        <v>196</v>
      </c>
      <c r="T111" s="13" t="s">
        <v>876</v>
      </c>
    </row>
    <row r="112" spans="1:20" ht="108.75" customHeight="1" x14ac:dyDescent="0.3">
      <c r="A112" s="13" t="s">
        <v>877</v>
      </c>
      <c r="B112" s="13" t="s">
        <v>104</v>
      </c>
      <c r="C112" s="13" t="s">
        <v>105</v>
      </c>
      <c r="D112" s="13" t="s">
        <v>878</v>
      </c>
      <c r="E112" s="14" t="s">
        <v>54</v>
      </c>
      <c r="F112" s="13" t="s">
        <v>356</v>
      </c>
      <c r="G112" s="13" t="s">
        <v>879</v>
      </c>
      <c r="H112" s="13" t="s">
        <v>696</v>
      </c>
      <c r="I112" s="13" t="s">
        <v>880</v>
      </c>
      <c r="J112" s="13" t="s">
        <v>881</v>
      </c>
      <c r="K112" s="13" t="s">
        <v>882</v>
      </c>
      <c r="L112" s="13" t="s">
        <v>883</v>
      </c>
      <c r="M112" s="13" t="s">
        <v>49</v>
      </c>
      <c r="N112" s="13" t="s">
        <v>176</v>
      </c>
      <c r="O112" s="13" t="s">
        <v>177</v>
      </c>
      <c r="P112" s="13" t="s">
        <v>178</v>
      </c>
      <c r="Q112" s="13" t="s">
        <v>188</v>
      </c>
      <c r="R112" s="13"/>
      <c r="S112" s="13" t="s">
        <v>631</v>
      </c>
      <c r="T112" s="13" t="s">
        <v>876</v>
      </c>
    </row>
    <row r="113" spans="1:20" ht="95.25" customHeight="1" x14ac:dyDescent="0.3">
      <c r="A113" s="13" t="s">
        <v>884</v>
      </c>
      <c r="B113" s="13" t="s">
        <v>104</v>
      </c>
      <c r="C113" s="13" t="s">
        <v>105</v>
      </c>
      <c r="D113" s="13" t="s">
        <v>885</v>
      </c>
      <c r="E113" s="13" t="s">
        <v>58</v>
      </c>
      <c r="F113" s="13" t="s">
        <v>624</v>
      </c>
      <c r="G113" s="13" t="s">
        <v>652</v>
      </c>
      <c r="H113" s="13" t="s">
        <v>696</v>
      </c>
      <c r="I113" s="13" t="s">
        <v>886</v>
      </c>
      <c r="J113" s="13" t="s">
        <v>887</v>
      </c>
      <c r="K113" s="13" t="s">
        <v>655</v>
      </c>
      <c r="L113" s="13" t="s">
        <v>888</v>
      </c>
      <c r="M113" s="13" t="s">
        <v>49</v>
      </c>
      <c r="N113" s="13" t="s">
        <v>176</v>
      </c>
      <c r="O113" s="13" t="s">
        <v>177</v>
      </c>
      <c r="P113" s="13" t="s">
        <v>178</v>
      </c>
      <c r="Q113" s="13" t="s">
        <v>188</v>
      </c>
      <c r="R113" s="13"/>
      <c r="S113" s="13" t="s">
        <v>580</v>
      </c>
      <c r="T113" s="13" t="s">
        <v>876</v>
      </c>
    </row>
    <row r="114" spans="1:20" ht="95.25" customHeight="1" x14ac:dyDescent="0.3">
      <c r="A114" s="13" t="s">
        <v>889</v>
      </c>
      <c r="B114" s="13" t="s">
        <v>104</v>
      </c>
      <c r="C114" s="13" t="s">
        <v>105</v>
      </c>
      <c r="D114" s="13" t="s">
        <v>890</v>
      </c>
      <c r="E114" s="13" t="s">
        <v>58</v>
      </c>
      <c r="F114" s="13" t="s">
        <v>321</v>
      </c>
      <c r="G114" s="13" t="s">
        <v>322</v>
      </c>
      <c r="H114" s="13" t="s">
        <v>696</v>
      </c>
      <c r="I114" s="13" t="s">
        <v>891</v>
      </c>
      <c r="J114" s="13" t="s">
        <v>892</v>
      </c>
      <c r="K114" s="13" t="s">
        <v>893</v>
      </c>
      <c r="L114" s="13" t="s">
        <v>894</v>
      </c>
      <c r="M114" s="13" t="s">
        <v>49</v>
      </c>
      <c r="N114" s="13" t="s">
        <v>176</v>
      </c>
      <c r="O114" s="13" t="s">
        <v>177</v>
      </c>
      <c r="P114" s="13" t="s">
        <v>178</v>
      </c>
      <c r="Q114" s="13" t="s">
        <v>188</v>
      </c>
      <c r="R114" s="13"/>
      <c r="S114" s="13" t="s">
        <v>334</v>
      </c>
      <c r="T114" s="13" t="s">
        <v>876</v>
      </c>
    </row>
    <row r="115" spans="1:20" ht="122.25" customHeight="1" x14ac:dyDescent="0.3">
      <c r="A115" s="13" t="s">
        <v>895</v>
      </c>
      <c r="B115" s="13" t="s">
        <v>104</v>
      </c>
      <c r="C115" s="13" t="s">
        <v>105</v>
      </c>
      <c r="D115" s="13" t="s">
        <v>896</v>
      </c>
      <c r="E115" s="14" t="s">
        <v>54</v>
      </c>
      <c r="F115" s="13" t="s">
        <v>169</v>
      </c>
      <c r="G115" s="13" t="s">
        <v>897</v>
      </c>
      <c r="H115" s="13" t="s">
        <v>696</v>
      </c>
      <c r="I115" s="13" t="s">
        <v>898</v>
      </c>
      <c r="J115" s="13" t="s">
        <v>899</v>
      </c>
      <c r="K115" s="13" t="s">
        <v>900</v>
      </c>
      <c r="L115" s="13" t="s">
        <v>901</v>
      </c>
      <c r="M115" s="13" t="s">
        <v>49</v>
      </c>
      <c r="N115" s="13" t="s">
        <v>176</v>
      </c>
      <c r="O115" s="13" t="s">
        <v>177</v>
      </c>
      <c r="P115" s="13" t="s">
        <v>178</v>
      </c>
      <c r="Q115" s="13" t="s">
        <v>188</v>
      </c>
      <c r="R115" s="13"/>
      <c r="S115" s="13" t="s">
        <v>189</v>
      </c>
      <c r="T115" s="13" t="s">
        <v>876</v>
      </c>
    </row>
    <row r="116" spans="1:20" ht="95.25" customHeight="1" x14ac:dyDescent="0.3">
      <c r="A116" s="13" t="s">
        <v>902</v>
      </c>
      <c r="B116" s="13" t="s">
        <v>108</v>
      </c>
      <c r="C116" s="13" t="s">
        <v>109</v>
      </c>
      <c r="D116" s="13" t="s">
        <v>903</v>
      </c>
      <c r="E116" s="14" t="s">
        <v>54</v>
      </c>
      <c r="F116" s="13" t="s">
        <v>904</v>
      </c>
      <c r="G116" s="13" t="s">
        <v>905</v>
      </c>
      <c r="H116" s="13" t="s">
        <v>696</v>
      </c>
      <c r="I116" s="13" t="s">
        <v>906</v>
      </c>
      <c r="J116" s="13" t="s">
        <v>907</v>
      </c>
      <c r="K116" s="13" t="s">
        <v>908</v>
      </c>
      <c r="L116" s="13" t="s">
        <v>909</v>
      </c>
      <c r="M116" s="13" t="s">
        <v>49</v>
      </c>
      <c r="N116" s="13" t="s">
        <v>176</v>
      </c>
      <c r="O116" s="13" t="s">
        <v>177</v>
      </c>
      <c r="P116" s="13" t="s">
        <v>178</v>
      </c>
      <c r="Q116" s="13" t="s">
        <v>178</v>
      </c>
      <c r="R116" s="13"/>
      <c r="S116" s="13" t="s">
        <v>910</v>
      </c>
      <c r="T116" s="13" t="s">
        <v>911</v>
      </c>
    </row>
    <row r="117" spans="1:20" ht="95.25" customHeight="1" x14ac:dyDescent="0.3">
      <c r="A117" s="13" t="s">
        <v>912</v>
      </c>
      <c r="B117" s="13" t="s">
        <v>108</v>
      </c>
      <c r="C117" s="13" t="s">
        <v>109</v>
      </c>
      <c r="D117" s="13" t="s">
        <v>913</v>
      </c>
      <c r="E117" s="14" t="s">
        <v>54</v>
      </c>
      <c r="F117" s="13" t="s">
        <v>904</v>
      </c>
      <c r="G117" s="13" t="s">
        <v>914</v>
      </c>
      <c r="H117" s="13" t="s">
        <v>696</v>
      </c>
      <c r="I117" s="13" t="s">
        <v>915</v>
      </c>
      <c r="J117" s="13" t="s">
        <v>916</v>
      </c>
      <c r="K117" s="13" t="s">
        <v>917</v>
      </c>
      <c r="L117" s="13" t="s">
        <v>918</v>
      </c>
      <c r="M117" s="13" t="s">
        <v>49</v>
      </c>
      <c r="N117" s="13" t="s">
        <v>176</v>
      </c>
      <c r="O117" s="13" t="s">
        <v>177</v>
      </c>
      <c r="P117" s="13" t="s">
        <v>178</v>
      </c>
      <c r="Q117" s="13" t="s">
        <v>188</v>
      </c>
      <c r="R117" s="13"/>
      <c r="S117" s="13" t="s">
        <v>919</v>
      </c>
      <c r="T117" s="13" t="s">
        <v>911</v>
      </c>
    </row>
    <row r="118" spans="1:20" ht="95.25" customHeight="1" x14ac:dyDescent="0.3">
      <c r="A118" s="13" t="s">
        <v>920</v>
      </c>
      <c r="B118" s="13" t="s">
        <v>108</v>
      </c>
      <c r="C118" s="13" t="s">
        <v>109</v>
      </c>
      <c r="D118" s="13" t="s">
        <v>921</v>
      </c>
      <c r="E118" s="13" t="s">
        <v>58</v>
      </c>
      <c r="F118" s="13" t="s">
        <v>904</v>
      </c>
      <c r="G118" s="13" t="s">
        <v>922</v>
      </c>
      <c r="H118" s="13" t="s">
        <v>696</v>
      </c>
      <c r="I118" s="13" t="s">
        <v>923</v>
      </c>
      <c r="J118" s="13" t="s">
        <v>924</v>
      </c>
      <c r="K118" s="13" t="s">
        <v>925</v>
      </c>
      <c r="L118" s="13" t="s">
        <v>926</v>
      </c>
      <c r="M118" s="13" t="s">
        <v>49</v>
      </c>
      <c r="N118" s="13" t="s">
        <v>176</v>
      </c>
      <c r="O118" s="13" t="s">
        <v>177</v>
      </c>
      <c r="P118" s="13" t="s">
        <v>178</v>
      </c>
      <c r="Q118" s="13" t="s">
        <v>188</v>
      </c>
      <c r="R118" s="13"/>
      <c r="S118" s="13" t="s">
        <v>927</v>
      </c>
      <c r="T118" s="13" t="s">
        <v>911</v>
      </c>
    </row>
    <row r="119" spans="1:20" ht="122.25" customHeight="1" x14ac:dyDescent="0.3">
      <c r="A119" s="13" t="s">
        <v>928</v>
      </c>
      <c r="B119" s="13" t="s">
        <v>108</v>
      </c>
      <c r="C119" s="13" t="s">
        <v>109</v>
      </c>
      <c r="D119" s="13" t="s">
        <v>929</v>
      </c>
      <c r="E119" s="13" t="s">
        <v>58</v>
      </c>
      <c r="F119" s="13" t="s">
        <v>930</v>
      </c>
      <c r="G119" s="13" t="s">
        <v>931</v>
      </c>
      <c r="H119" s="13" t="s">
        <v>696</v>
      </c>
      <c r="I119" s="13" t="s">
        <v>932</v>
      </c>
      <c r="J119" s="13" t="s">
        <v>933</v>
      </c>
      <c r="K119" s="13" t="s">
        <v>934</v>
      </c>
      <c r="L119" s="13" t="s">
        <v>935</v>
      </c>
      <c r="M119" s="13" t="s">
        <v>49</v>
      </c>
      <c r="N119" s="13" t="s">
        <v>176</v>
      </c>
      <c r="O119" s="13" t="s">
        <v>177</v>
      </c>
      <c r="P119" s="13" t="s">
        <v>178</v>
      </c>
      <c r="Q119" s="13" t="s">
        <v>188</v>
      </c>
      <c r="R119" s="13"/>
      <c r="S119" s="13" t="s">
        <v>936</v>
      </c>
      <c r="T119" s="13" t="s">
        <v>911</v>
      </c>
    </row>
    <row r="120" spans="1:20" ht="122.25" customHeight="1" x14ac:dyDescent="0.3">
      <c r="A120" s="13" t="s">
        <v>937</v>
      </c>
      <c r="B120" s="13" t="s">
        <v>108</v>
      </c>
      <c r="C120" s="13" t="s">
        <v>109</v>
      </c>
      <c r="D120" s="13" t="s">
        <v>938</v>
      </c>
      <c r="E120" s="13" t="s">
        <v>58</v>
      </c>
      <c r="F120" s="13" t="s">
        <v>904</v>
      </c>
      <c r="G120" s="13" t="s">
        <v>939</v>
      </c>
      <c r="H120" s="13" t="s">
        <v>696</v>
      </c>
      <c r="I120" s="13" t="s">
        <v>940</v>
      </c>
      <c r="J120" s="13" t="s">
        <v>941</v>
      </c>
      <c r="K120" s="13" t="s">
        <v>942</v>
      </c>
      <c r="L120" s="13" t="s">
        <v>943</v>
      </c>
      <c r="M120" s="13" t="s">
        <v>49</v>
      </c>
      <c r="N120" s="13" t="s">
        <v>176</v>
      </c>
      <c r="O120" s="13" t="s">
        <v>195</v>
      </c>
      <c r="P120" s="13" t="s">
        <v>178</v>
      </c>
      <c r="Q120" s="13" t="s">
        <v>188</v>
      </c>
      <c r="R120" s="13"/>
      <c r="S120" s="13" t="s">
        <v>927</v>
      </c>
      <c r="T120" s="13" t="s">
        <v>911</v>
      </c>
    </row>
    <row r="121" spans="1:20" ht="122.25" customHeight="1" x14ac:dyDescent="0.3">
      <c r="A121" s="13" t="s">
        <v>944</v>
      </c>
      <c r="B121" s="13" t="s">
        <v>108</v>
      </c>
      <c r="C121" s="13" t="s">
        <v>109</v>
      </c>
      <c r="D121" s="13" t="s">
        <v>945</v>
      </c>
      <c r="E121" s="14" t="s">
        <v>54</v>
      </c>
      <c r="F121" s="13" t="s">
        <v>904</v>
      </c>
      <c r="G121" s="13" t="s">
        <v>946</v>
      </c>
      <c r="H121" s="13" t="s">
        <v>696</v>
      </c>
      <c r="I121" s="13" t="s">
        <v>947</v>
      </c>
      <c r="J121" s="13" t="s">
        <v>948</v>
      </c>
      <c r="K121" s="13" t="s">
        <v>949</v>
      </c>
      <c r="L121" s="13" t="s">
        <v>950</v>
      </c>
      <c r="M121" s="13" t="s">
        <v>49</v>
      </c>
      <c r="N121" s="13" t="s">
        <v>176</v>
      </c>
      <c r="O121" s="13" t="s">
        <v>195</v>
      </c>
      <c r="P121" s="13" t="s">
        <v>178</v>
      </c>
      <c r="Q121" s="13" t="s">
        <v>188</v>
      </c>
      <c r="R121" s="13"/>
      <c r="S121" s="13" t="s">
        <v>951</v>
      </c>
      <c r="T121" s="13" t="s">
        <v>911</v>
      </c>
    </row>
    <row r="122" spans="1:20" ht="122.25" customHeight="1" x14ac:dyDescent="0.3">
      <c r="A122" s="13" t="s">
        <v>952</v>
      </c>
      <c r="B122" s="13" t="s">
        <v>108</v>
      </c>
      <c r="C122" s="13" t="s">
        <v>109</v>
      </c>
      <c r="D122" s="13" t="s">
        <v>953</v>
      </c>
      <c r="E122" s="14" t="s">
        <v>54</v>
      </c>
      <c r="F122" s="13" t="s">
        <v>930</v>
      </c>
      <c r="G122" s="13" t="s">
        <v>954</v>
      </c>
      <c r="H122" s="13" t="s">
        <v>696</v>
      </c>
      <c r="I122" s="13" t="s">
        <v>955</v>
      </c>
      <c r="J122" s="13" t="s">
        <v>956</v>
      </c>
      <c r="K122" s="13" t="s">
        <v>957</v>
      </c>
      <c r="L122" s="13" t="s">
        <v>958</v>
      </c>
      <c r="M122" s="13" t="s">
        <v>49</v>
      </c>
      <c r="N122" s="13" t="s">
        <v>176</v>
      </c>
      <c r="O122" s="13" t="s">
        <v>177</v>
      </c>
      <c r="P122" s="13" t="s">
        <v>178</v>
      </c>
      <c r="Q122" s="13" t="s">
        <v>188</v>
      </c>
      <c r="R122" s="13"/>
      <c r="S122" s="13" t="s">
        <v>959</v>
      </c>
      <c r="T122" s="13" t="s">
        <v>911</v>
      </c>
    </row>
    <row r="123" spans="1:20" ht="122.25" customHeight="1" x14ac:dyDescent="0.3">
      <c r="A123" s="13" t="s">
        <v>960</v>
      </c>
      <c r="B123" s="13" t="s">
        <v>108</v>
      </c>
      <c r="C123" s="13" t="s">
        <v>109</v>
      </c>
      <c r="D123" s="13" t="s">
        <v>961</v>
      </c>
      <c r="E123" s="13" t="s">
        <v>237</v>
      </c>
      <c r="F123" s="13" t="s">
        <v>930</v>
      </c>
      <c r="G123" s="13" t="s">
        <v>962</v>
      </c>
      <c r="H123" s="13" t="s">
        <v>696</v>
      </c>
      <c r="I123" s="13" t="s">
        <v>963</v>
      </c>
      <c r="J123" s="13" t="s">
        <v>964</v>
      </c>
      <c r="K123" s="13" t="s">
        <v>957</v>
      </c>
      <c r="L123" s="13" t="s">
        <v>958</v>
      </c>
      <c r="M123" s="13" t="s">
        <v>49</v>
      </c>
      <c r="N123" s="13" t="s">
        <v>176</v>
      </c>
      <c r="O123" s="13" t="s">
        <v>177</v>
      </c>
      <c r="P123" s="13" t="s">
        <v>178</v>
      </c>
      <c r="Q123" s="13" t="s">
        <v>188</v>
      </c>
      <c r="R123" s="13"/>
      <c r="S123" s="13" t="s">
        <v>959</v>
      </c>
      <c r="T123" s="13" t="s">
        <v>911</v>
      </c>
    </row>
    <row r="124" spans="1:20" ht="122.25" customHeight="1" x14ac:dyDescent="0.3">
      <c r="A124" s="13" t="s">
        <v>965</v>
      </c>
      <c r="B124" s="13" t="s">
        <v>108</v>
      </c>
      <c r="C124" s="13" t="s">
        <v>109</v>
      </c>
      <c r="D124" s="13" t="s">
        <v>966</v>
      </c>
      <c r="E124" s="13" t="s">
        <v>237</v>
      </c>
      <c r="F124" s="13" t="s">
        <v>930</v>
      </c>
      <c r="G124" s="13" t="s">
        <v>967</v>
      </c>
      <c r="H124" s="13" t="s">
        <v>696</v>
      </c>
      <c r="I124" s="13" t="s">
        <v>968</v>
      </c>
      <c r="J124" s="13" t="s">
        <v>969</v>
      </c>
      <c r="K124" s="13" t="s">
        <v>957</v>
      </c>
      <c r="L124" s="13" t="s">
        <v>958</v>
      </c>
      <c r="M124" s="13" t="s">
        <v>49</v>
      </c>
      <c r="N124" s="13" t="s">
        <v>176</v>
      </c>
      <c r="O124" s="13" t="s">
        <v>177</v>
      </c>
      <c r="P124" s="13" t="s">
        <v>178</v>
      </c>
      <c r="Q124" s="13" t="s">
        <v>188</v>
      </c>
      <c r="R124" s="13"/>
      <c r="S124" s="13" t="s">
        <v>959</v>
      </c>
      <c r="T124" s="13" t="s">
        <v>911</v>
      </c>
    </row>
    <row r="125" spans="1:20" ht="95.25" customHeight="1" x14ac:dyDescent="0.3">
      <c r="A125" s="13" t="s">
        <v>970</v>
      </c>
      <c r="B125" s="13" t="s">
        <v>112</v>
      </c>
      <c r="C125" s="13" t="s">
        <v>109</v>
      </c>
      <c r="D125" s="13" t="s">
        <v>971</v>
      </c>
      <c r="E125" s="13" t="s">
        <v>58</v>
      </c>
      <c r="F125" s="13" t="s">
        <v>250</v>
      </c>
      <c r="G125" s="13" t="s">
        <v>251</v>
      </c>
      <c r="H125" s="13" t="s">
        <v>696</v>
      </c>
      <c r="I125" s="13" t="s">
        <v>972</v>
      </c>
      <c r="J125" s="13" t="s">
        <v>973</v>
      </c>
      <c r="K125" s="13" t="s">
        <v>974</v>
      </c>
      <c r="L125" s="13" t="s">
        <v>975</v>
      </c>
      <c r="M125" s="13" t="s">
        <v>49</v>
      </c>
      <c r="N125" s="13" t="s">
        <v>176</v>
      </c>
      <c r="O125" s="13" t="s">
        <v>177</v>
      </c>
      <c r="P125" s="13" t="s">
        <v>178</v>
      </c>
      <c r="Q125" s="13" t="s">
        <v>188</v>
      </c>
      <c r="R125" s="13"/>
      <c r="S125" s="13" t="s">
        <v>976</v>
      </c>
      <c r="T125" s="13" t="s">
        <v>911</v>
      </c>
    </row>
    <row r="126" spans="1:20" ht="95.25" customHeight="1" x14ac:dyDescent="0.3">
      <c r="A126" s="13" t="s">
        <v>977</v>
      </c>
      <c r="B126" s="13" t="s">
        <v>112</v>
      </c>
      <c r="C126" s="13" t="s">
        <v>109</v>
      </c>
      <c r="D126" s="13" t="s">
        <v>978</v>
      </c>
      <c r="E126" s="13" t="s">
        <v>58</v>
      </c>
      <c r="F126" s="13" t="s">
        <v>250</v>
      </c>
      <c r="G126" s="13" t="s">
        <v>262</v>
      </c>
      <c r="H126" s="13" t="s">
        <v>696</v>
      </c>
      <c r="I126" s="13" t="s">
        <v>979</v>
      </c>
      <c r="J126" s="13" t="s">
        <v>980</v>
      </c>
      <c r="K126" s="13" t="s">
        <v>974</v>
      </c>
      <c r="L126" s="13" t="s">
        <v>975</v>
      </c>
      <c r="M126" s="13" t="s">
        <v>49</v>
      </c>
      <c r="N126" s="13" t="s">
        <v>176</v>
      </c>
      <c r="O126" s="13" t="s">
        <v>177</v>
      </c>
      <c r="P126" s="13" t="s">
        <v>178</v>
      </c>
      <c r="Q126" s="13" t="s">
        <v>188</v>
      </c>
      <c r="R126" s="13"/>
      <c r="S126" s="13" t="s">
        <v>976</v>
      </c>
      <c r="T126" s="13" t="s">
        <v>911</v>
      </c>
    </row>
    <row r="127" spans="1:20" ht="95.25" customHeight="1" x14ac:dyDescent="0.3">
      <c r="A127" s="13" t="s">
        <v>981</v>
      </c>
      <c r="B127" s="13" t="s">
        <v>112</v>
      </c>
      <c r="C127" s="13" t="s">
        <v>109</v>
      </c>
      <c r="D127" s="13" t="s">
        <v>982</v>
      </c>
      <c r="E127" s="13" t="s">
        <v>237</v>
      </c>
      <c r="F127" s="13" t="s">
        <v>250</v>
      </c>
      <c r="G127" s="13" t="s">
        <v>295</v>
      </c>
      <c r="H127" s="13" t="s">
        <v>696</v>
      </c>
      <c r="I127" s="13" t="s">
        <v>983</v>
      </c>
      <c r="J127" s="13" t="s">
        <v>984</v>
      </c>
      <c r="K127" s="13" t="s">
        <v>985</v>
      </c>
      <c r="L127" s="13" t="s">
        <v>975</v>
      </c>
      <c r="M127" s="13" t="s">
        <v>49</v>
      </c>
      <c r="N127" s="13" t="s">
        <v>176</v>
      </c>
      <c r="O127" s="13" t="s">
        <v>195</v>
      </c>
      <c r="P127" s="13" t="s">
        <v>178</v>
      </c>
      <c r="Q127" s="13" t="s">
        <v>188</v>
      </c>
      <c r="R127" s="13"/>
      <c r="S127" s="13" t="s">
        <v>211</v>
      </c>
      <c r="T127" s="13" t="s">
        <v>911</v>
      </c>
    </row>
    <row r="128" spans="1:20" ht="95.25" customHeight="1" x14ac:dyDescent="0.3">
      <c r="A128" s="13" t="s">
        <v>986</v>
      </c>
      <c r="B128" s="13" t="s">
        <v>112</v>
      </c>
      <c r="C128" s="13" t="s">
        <v>109</v>
      </c>
      <c r="D128" s="13" t="s">
        <v>987</v>
      </c>
      <c r="E128" s="13" t="s">
        <v>237</v>
      </c>
      <c r="F128" s="13" t="s">
        <v>250</v>
      </c>
      <c r="G128" s="13" t="s">
        <v>988</v>
      </c>
      <c r="H128" s="13" t="s">
        <v>696</v>
      </c>
      <c r="I128" s="13" t="s">
        <v>989</v>
      </c>
      <c r="J128" s="13" t="s">
        <v>990</v>
      </c>
      <c r="K128" s="13" t="s">
        <v>991</v>
      </c>
      <c r="L128" s="13" t="s">
        <v>992</v>
      </c>
      <c r="M128" s="13" t="s">
        <v>49</v>
      </c>
      <c r="N128" s="13" t="s">
        <v>176</v>
      </c>
      <c r="O128" s="13" t="s">
        <v>177</v>
      </c>
      <c r="P128" s="13" t="s">
        <v>178</v>
      </c>
      <c r="Q128" s="13" t="s">
        <v>188</v>
      </c>
      <c r="R128" s="13"/>
      <c r="S128" s="13" t="s">
        <v>334</v>
      </c>
      <c r="T128" s="13" t="s">
        <v>911</v>
      </c>
    </row>
    <row r="129" spans="1:20" ht="95.25" customHeight="1" x14ac:dyDescent="0.3">
      <c r="A129" s="13" t="s">
        <v>993</v>
      </c>
      <c r="B129" s="13" t="s">
        <v>112</v>
      </c>
      <c r="C129" s="13" t="s">
        <v>109</v>
      </c>
      <c r="D129" s="13" t="s">
        <v>994</v>
      </c>
      <c r="E129" s="13" t="s">
        <v>237</v>
      </c>
      <c r="F129" s="13" t="s">
        <v>995</v>
      </c>
      <c r="G129" s="13" t="s">
        <v>342</v>
      </c>
      <c r="H129" s="13" t="s">
        <v>696</v>
      </c>
      <c r="I129" s="13" t="s">
        <v>996</v>
      </c>
      <c r="J129" s="13" t="s">
        <v>997</v>
      </c>
      <c r="K129" s="13" t="s">
        <v>998</v>
      </c>
      <c r="L129" s="13" t="s">
        <v>999</v>
      </c>
      <c r="M129" s="13" t="s">
        <v>49</v>
      </c>
      <c r="N129" s="13" t="s">
        <v>176</v>
      </c>
      <c r="O129" s="13" t="s">
        <v>177</v>
      </c>
      <c r="P129" s="13" t="s">
        <v>178</v>
      </c>
      <c r="Q129" s="13" t="s">
        <v>188</v>
      </c>
      <c r="R129" s="13"/>
      <c r="S129" s="13" t="s">
        <v>1000</v>
      </c>
      <c r="T129" s="13" t="s">
        <v>911</v>
      </c>
    </row>
    <row r="130" spans="1:20" ht="122.25" customHeight="1" x14ac:dyDescent="0.3">
      <c r="A130" s="13" t="s">
        <v>1001</v>
      </c>
      <c r="B130" s="13" t="s">
        <v>112</v>
      </c>
      <c r="C130" s="13" t="s">
        <v>109</v>
      </c>
      <c r="D130" s="13" t="s">
        <v>1002</v>
      </c>
      <c r="E130" s="13" t="s">
        <v>237</v>
      </c>
      <c r="F130" s="13" t="s">
        <v>995</v>
      </c>
      <c r="G130" s="13" t="s">
        <v>342</v>
      </c>
      <c r="H130" s="13" t="s">
        <v>696</v>
      </c>
      <c r="I130" s="13" t="s">
        <v>1003</v>
      </c>
      <c r="J130" s="13" t="s">
        <v>1004</v>
      </c>
      <c r="K130" s="13" t="s">
        <v>1005</v>
      </c>
      <c r="L130" s="13" t="s">
        <v>999</v>
      </c>
      <c r="M130" s="13" t="s">
        <v>49</v>
      </c>
      <c r="N130" s="13" t="s">
        <v>176</v>
      </c>
      <c r="O130" s="13" t="s">
        <v>177</v>
      </c>
      <c r="P130" s="13" t="s">
        <v>178</v>
      </c>
      <c r="Q130" s="13" t="s">
        <v>188</v>
      </c>
      <c r="R130" s="13"/>
      <c r="S130" s="13" t="s">
        <v>1000</v>
      </c>
      <c r="T130" s="13" t="s">
        <v>911</v>
      </c>
    </row>
    <row r="131" spans="1:20" ht="95.25" customHeight="1" x14ac:dyDescent="0.3">
      <c r="A131" s="13" t="s">
        <v>1006</v>
      </c>
      <c r="B131" s="13" t="s">
        <v>115</v>
      </c>
      <c r="C131" s="13" t="s">
        <v>109</v>
      </c>
      <c r="D131" s="13" t="s">
        <v>1007</v>
      </c>
      <c r="E131" s="13" t="s">
        <v>58</v>
      </c>
      <c r="F131" s="13" t="s">
        <v>624</v>
      </c>
      <c r="G131" s="13" t="s">
        <v>652</v>
      </c>
      <c r="H131" s="13" t="s">
        <v>696</v>
      </c>
      <c r="I131" s="13" t="s">
        <v>1008</v>
      </c>
      <c r="J131" s="13" t="s">
        <v>1009</v>
      </c>
      <c r="K131" s="13" t="s">
        <v>655</v>
      </c>
      <c r="L131" s="13" t="s">
        <v>888</v>
      </c>
      <c r="M131" s="13" t="s">
        <v>49</v>
      </c>
      <c r="N131" s="13" t="s">
        <v>176</v>
      </c>
      <c r="O131" s="13" t="s">
        <v>177</v>
      </c>
      <c r="P131" s="13" t="s">
        <v>178</v>
      </c>
      <c r="Q131" s="13" t="s">
        <v>188</v>
      </c>
      <c r="R131" s="13"/>
      <c r="S131" s="13" t="s">
        <v>334</v>
      </c>
      <c r="T131" s="13" t="s">
        <v>911</v>
      </c>
    </row>
    <row r="132" spans="1:20" ht="122.25" customHeight="1" x14ac:dyDescent="0.3">
      <c r="A132" s="13" t="s">
        <v>1010</v>
      </c>
      <c r="B132" s="13" t="s">
        <v>115</v>
      </c>
      <c r="C132" s="13" t="s">
        <v>109</v>
      </c>
      <c r="D132" s="13" t="s">
        <v>1011</v>
      </c>
      <c r="E132" s="14" t="s">
        <v>54</v>
      </c>
      <c r="F132" s="13" t="s">
        <v>356</v>
      </c>
      <c r="G132" s="13" t="s">
        <v>879</v>
      </c>
      <c r="H132" s="13" t="s">
        <v>696</v>
      </c>
      <c r="I132" s="13" t="s">
        <v>1012</v>
      </c>
      <c r="J132" s="13" t="s">
        <v>1013</v>
      </c>
      <c r="K132" s="13" t="s">
        <v>1014</v>
      </c>
      <c r="L132" s="13" t="s">
        <v>1015</v>
      </c>
      <c r="M132" s="13" t="s">
        <v>49</v>
      </c>
      <c r="N132" s="13" t="s">
        <v>176</v>
      </c>
      <c r="O132" s="13" t="s">
        <v>177</v>
      </c>
      <c r="P132" s="13" t="s">
        <v>178</v>
      </c>
      <c r="Q132" s="13" t="s">
        <v>188</v>
      </c>
      <c r="R132" s="13"/>
      <c r="S132" s="13" t="s">
        <v>334</v>
      </c>
      <c r="T132" s="13" t="s">
        <v>911</v>
      </c>
    </row>
    <row r="133" spans="1:20" ht="95.25" customHeight="1" x14ac:dyDescent="0.3">
      <c r="A133" s="13" t="s">
        <v>1016</v>
      </c>
      <c r="B133" s="13" t="s">
        <v>115</v>
      </c>
      <c r="C133" s="13" t="s">
        <v>109</v>
      </c>
      <c r="D133" s="13" t="s">
        <v>1017</v>
      </c>
      <c r="E133" s="13" t="s">
        <v>58</v>
      </c>
      <c r="F133" s="13" t="s">
        <v>321</v>
      </c>
      <c r="G133" s="13" t="s">
        <v>322</v>
      </c>
      <c r="H133" s="13" t="s">
        <v>696</v>
      </c>
      <c r="I133" s="13" t="s">
        <v>1018</v>
      </c>
      <c r="J133" s="13" t="s">
        <v>892</v>
      </c>
      <c r="K133" s="13" t="s">
        <v>893</v>
      </c>
      <c r="L133" s="13" t="s">
        <v>894</v>
      </c>
      <c r="M133" s="13" t="s">
        <v>49</v>
      </c>
      <c r="N133" s="13" t="s">
        <v>176</v>
      </c>
      <c r="O133" s="13" t="s">
        <v>177</v>
      </c>
      <c r="P133" s="13" t="s">
        <v>178</v>
      </c>
      <c r="Q133" s="13" t="s">
        <v>188</v>
      </c>
      <c r="R133" s="13"/>
      <c r="S133" s="13" t="s">
        <v>334</v>
      </c>
      <c r="T133" s="13" t="s">
        <v>911</v>
      </c>
    </row>
    <row r="134" spans="1:20" ht="108.75" customHeight="1" x14ac:dyDescent="0.3">
      <c r="A134" s="13" t="s">
        <v>1019</v>
      </c>
      <c r="B134" s="13" t="s">
        <v>115</v>
      </c>
      <c r="C134" s="13" t="s">
        <v>109</v>
      </c>
      <c r="D134" s="13" t="s">
        <v>1020</v>
      </c>
      <c r="E134" s="13" t="s">
        <v>58</v>
      </c>
      <c r="F134" s="13" t="s">
        <v>1021</v>
      </c>
      <c r="G134" s="13" t="s">
        <v>1022</v>
      </c>
      <c r="H134" s="13" t="s">
        <v>696</v>
      </c>
      <c r="I134" s="13" t="s">
        <v>1023</v>
      </c>
      <c r="J134" s="13" t="s">
        <v>1024</v>
      </c>
      <c r="K134" s="13" t="s">
        <v>1025</v>
      </c>
      <c r="L134" s="13" t="s">
        <v>1026</v>
      </c>
      <c r="M134" s="13" t="s">
        <v>49</v>
      </c>
      <c r="N134" s="13" t="s">
        <v>176</v>
      </c>
      <c r="O134" s="13" t="s">
        <v>177</v>
      </c>
      <c r="P134" s="13" t="s">
        <v>178</v>
      </c>
      <c r="Q134" s="13" t="s">
        <v>188</v>
      </c>
      <c r="R134" s="13"/>
      <c r="S134" s="13" t="s">
        <v>196</v>
      </c>
      <c r="T134" s="13" t="s">
        <v>911</v>
      </c>
    </row>
    <row r="135" spans="1:20" ht="162" customHeight="1" x14ac:dyDescent="0.3">
      <c r="A135" s="13" t="s">
        <v>1027</v>
      </c>
      <c r="B135" s="13" t="s">
        <v>115</v>
      </c>
      <c r="C135" s="13" t="s">
        <v>109</v>
      </c>
      <c r="D135" s="13" t="s">
        <v>1028</v>
      </c>
      <c r="E135" s="14" t="s">
        <v>54</v>
      </c>
      <c r="F135" s="13" t="s">
        <v>364</v>
      </c>
      <c r="G135" s="13" t="s">
        <v>1029</v>
      </c>
      <c r="H135" s="13" t="s">
        <v>696</v>
      </c>
      <c r="I135" s="13" t="s">
        <v>1030</v>
      </c>
      <c r="J135" s="13" t="s">
        <v>1031</v>
      </c>
      <c r="K135" s="13" t="s">
        <v>1032</v>
      </c>
      <c r="L135" s="13" t="s">
        <v>1033</v>
      </c>
      <c r="M135" s="13" t="s">
        <v>49</v>
      </c>
      <c r="N135" s="13" t="s">
        <v>176</v>
      </c>
      <c r="O135" s="13" t="s">
        <v>177</v>
      </c>
      <c r="P135" s="13" t="s">
        <v>178</v>
      </c>
      <c r="Q135" s="13" t="s">
        <v>188</v>
      </c>
      <c r="R135" s="13"/>
      <c r="S135" s="13" t="s">
        <v>1034</v>
      </c>
      <c r="T135" s="13" t="s">
        <v>911</v>
      </c>
    </row>
    <row r="136" spans="1:20" ht="162" customHeight="1" x14ac:dyDescent="0.3">
      <c r="A136" s="13" t="s">
        <v>1035</v>
      </c>
      <c r="B136" s="13" t="s">
        <v>115</v>
      </c>
      <c r="C136" s="13" t="s">
        <v>109</v>
      </c>
      <c r="D136" s="13" t="s">
        <v>1036</v>
      </c>
      <c r="E136" s="13" t="s">
        <v>58</v>
      </c>
      <c r="F136" s="13" t="s">
        <v>364</v>
      </c>
      <c r="G136" s="13" t="s">
        <v>1037</v>
      </c>
      <c r="H136" s="13" t="s">
        <v>696</v>
      </c>
      <c r="I136" s="13" t="s">
        <v>1038</v>
      </c>
      <c r="J136" s="13" t="s">
        <v>1039</v>
      </c>
      <c r="K136" s="13" t="s">
        <v>1032</v>
      </c>
      <c r="L136" s="13" t="s">
        <v>1033</v>
      </c>
      <c r="M136" s="13" t="s">
        <v>49</v>
      </c>
      <c r="N136" s="13" t="s">
        <v>176</v>
      </c>
      <c r="O136" s="13" t="s">
        <v>177</v>
      </c>
      <c r="P136" s="13" t="s">
        <v>178</v>
      </c>
      <c r="Q136" s="13" t="s">
        <v>188</v>
      </c>
      <c r="R136" s="13"/>
      <c r="S136" s="13" t="s">
        <v>1034</v>
      </c>
      <c r="T136" s="13" t="s">
        <v>911</v>
      </c>
    </row>
    <row r="137" spans="1:20" ht="122.25" customHeight="1" x14ac:dyDescent="0.3">
      <c r="A137" s="13" t="s">
        <v>1040</v>
      </c>
      <c r="B137" s="13" t="s">
        <v>118</v>
      </c>
      <c r="C137" s="13" t="s">
        <v>119</v>
      </c>
      <c r="D137" s="13" t="s">
        <v>1041</v>
      </c>
      <c r="E137" s="14" t="s">
        <v>54</v>
      </c>
      <c r="F137" s="13" t="s">
        <v>904</v>
      </c>
      <c r="G137" s="13" t="s">
        <v>1042</v>
      </c>
      <c r="H137" s="13" t="s">
        <v>696</v>
      </c>
      <c r="I137" s="13" t="s">
        <v>1043</v>
      </c>
      <c r="J137" s="13" t="s">
        <v>1044</v>
      </c>
      <c r="K137" s="13" t="s">
        <v>1045</v>
      </c>
      <c r="L137" s="13" t="s">
        <v>1046</v>
      </c>
      <c r="M137" s="13" t="s">
        <v>49</v>
      </c>
      <c r="N137" s="13" t="s">
        <v>176</v>
      </c>
      <c r="O137" s="13" t="s">
        <v>177</v>
      </c>
      <c r="P137" s="13" t="s">
        <v>178</v>
      </c>
      <c r="Q137" s="13" t="s">
        <v>178</v>
      </c>
      <c r="R137" s="13"/>
      <c r="S137" s="13" t="s">
        <v>196</v>
      </c>
      <c r="T137" s="13" t="s">
        <v>1047</v>
      </c>
    </row>
    <row r="138" spans="1:20" ht="95.25" customHeight="1" x14ac:dyDescent="0.3">
      <c r="A138" s="13" t="s">
        <v>1048</v>
      </c>
      <c r="B138" s="13" t="s">
        <v>118</v>
      </c>
      <c r="C138" s="13" t="s">
        <v>119</v>
      </c>
      <c r="D138" s="13" t="s">
        <v>1049</v>
      </c>
      <c r="E138" s="13" t="s">
        <v>58</v>
      </c>
      <c r="F138" s="13" t="s">
        <v>930</v>
      </c>
      <c r="G138" s="13" t="s">
        <v>1050</v>
      </c>
      <c r="H138" s="13" t="s">
        <v>696</v>
      </c>
      <c r="I138" s="13" t="s">
        <v>1051</v>
      </c>
      <c r="J138" s="13" t="s">
        <v>1052</v>
      </c>
      <c r="K138" s="13" t="s">
        <v>1053</v>
      </c>
      <c r="L138" s="13" t="s">
        <v>1054</v>
      </c>
      <c r="M138" s="13" t="s">
        <v>49</v>
      </c>
      <c r="N138" s="13" t="s">
        <v>176</v>
      </c>
      <c r="O138" s="13" t="s">
        <v>177</v>
      </c>
      <c r="P138" s="13" t="s">
        <v>178</v>
      </c>
      <c r="Q138" s="13" t="s">
        <v>188</v>
      </c>
      <c r="R138" s="13"/>
      <c r="S138" s="13" t="s">
        <v>189</v>
      </c>
      <c r="T138" s="13" t="s">
        <v>1047</v>
      </c>
    </row>
    <row r="139" spans="1:20" ht="122.25" customHeight="1" x14ac:dyDescent="0.3">
      <c r="A139" s="13" t="s">
        <v>1055</v>
      </c>
      <c r="B139" s="13" t="s">
        <v>118</v>
      </c>
      <c r="C139" s="13" t="s">
        <v>119</v>
      </c>
      <c r="D139" s="13" t="s">
        <v>1056</v>
      </c>
      <c r="E139" s="14" t="s">
        <v>54</v>
      </c>
      <c r="F139" s="13" t="s">
        <v>930</v>
      </c>
      <c r="G139" s="13" t="s">
        <v>1057</v>
      </c>
      <c r="H139" s="13" t="s">
        <v>696</v>
      </c>
      <c r="I139" s="13" t="s">
        <v>1058</v>
      </c>
      <c r="J139" s="13" t="s">
        <v>1059</v>
      </c>
      <c r="K139" s="13" t="s">
        <v>1060</v>
      </c>
      <c r="L139" s="13" t="s">
        <v>1061</v>
      </c>
      <c r="M139" s="13" t="s">
        <v>49</v>
      </c>
      <c r="N139" s="13" t="s">
        <v>176</v>
      </c>
      <c r="O139" s="13" t="s">
        <v>177</v>
      </c>
      <c r="P139" s="13" t="s">
        <v>178</v>
      </c>
      <c r="Q139" s="13" t="s">
        <v>188</v>
      </c>
      <c r="R139" s="13"/>
      <c r="S139" s="13" t="s">
        <v>203</v>
      </c>
      <c r="T139" s="13" t="s">
        <v>1047</v>
      </c>
    </row>
    <row r="140" spans="1:20" ht="149.25" customHeight="1" x14ac:dyDescent="0.3">
      <c r="A140" s="13" t="s">
        <v>1062</v>
      </c>
      <c r="B140" s="13" t="s">
        <v>118</v>
      </c>
      <c r="C140" s="13" t="s">
        <v>119</v>
      </c>
      <c r="D140" s="13" t="s">
        <v>1063</v>
      </c>
      <c r="E140" s="13" t="s">
        <v>58</v>
      </c>
      <c r="F140" s="13" t="s">
        <v>930</v>
      </c>
      <c r="G140" s="13" t="s">
        <v>1064</v>
      </c>
      <c r="H140" s="13" t="s">
        <v>696</v>
      </c>
      <c r="I140" s="13" t="s">
        <v>1065</v>
      </c>
      <c r="J140" s="13" t="s">
        <v>1066</v>
      </c>
      <c r="K140" s="13" t="s">
        <v>1067</v>
      </c>
      <c r="L140" s="13" t="s">
        <v>1068</v>
      </c>
      <c r="M140" s="13" t="s">
        <v>49</v>
      </c>
      <c r="N140" s="13" t="s">
        <v>176</v>
      </c>
      <c r="O140" s="13" t="s">
        <v>177</v>
      </c>
      <c r="P140" s="13" t="s">
        <v>178</v>
      </c>
      <c r="Q140" s="13" t="s">
        <v>188</v>
      </c>
      <c r="R140" s="13"/>
      <c r="S140" s="13" t="s">
        <v>203</v>
      </c>
      <c r="T140" s="13" t="s">
        <v>1047</v>
      </c>
    </row>
    <row r="141" spans="1:20" ht="135.75" customHeight="1" x14ac:dyDescent="0.3">
      <c r="A141" s="13" t="s">
        <v>1069</v>
      </c>
      <c r="B141" s="13" t="s">
        <v>118</v>
      </c>
      <c r="C141" s="13" t="s">
        <v>119</v>
      </c>
      <c r="D141" s="13" t="s">
        <v>1070</v>
      </c>
      <c r="E141" s="13" t="s">
        <v>237</v>
      </c>
      <c r="F141" s="13" t="s">
        <v>1071</v>
      </c>
      <c r="G141" s="13" t="s">
        <v>1072</v>
      </c>
      <c r="H141" s="13" t="s">
        <v>696</v>
      </c>
      <c r="I141" s="13" t="s">
        <v>1073</v>
      </c>
      <c r="J141" s="13" t="s">
        <v>1074</v>
      </c>
      <c r="K141" s="13" t="s">
        <v>1075</v>
      </c>
      <c r="L141" s="13" t="s">
        <v>1076</v>
      </c>
      <c r="M141" s="13" t="s">
        <v>49</v>
      </c>
      <c r="N141" s="13" t="s">
        <v>176</v>
      </c>
      <c r="O141" s="13" t="s">
        <v>177</v>
      </c>
      <c r="P141" s="13" t="s">
        <v>178</v>
      </c>
      <c r="Q141" s="13" t="s">
        <v>188</v>
      </c>
      <c r="R141" s="13"/>
      <c r="S141" s="13" t="s">
        <v>196</v>
      </c>
      <c r="T141" s="13" t="s">
        <v>1047</v>
      </c>
    </row>
    <row r="142" spans="1:20" ht="135.75" customHeight="1" x14ac:dyDescent="0.3">
      <c r="A142" s="13" t="s">
        <v>1077</v>
      </c>
      <c r="B142" s="13" t="s">
        <v>118</v>
      </c>
      <c r="C142" s="13" t="s">
        <v>119</v>
      </c>
      <c r="D142" s="13" t="s">
        <v>1078</v>
      </c>
      <c r="E142" s="13" t="s">
        <v>58</v>
      </c>
      <c r="F142" s="13" t="s">
        <v>1021</v>
      </c>
      <c r="G142" s="13" t="s">
        <v>1079</v>
      </c>
      <c r="H142" s="13" t="s">
        <v>696</v>
      </c>
      <c r="I142" s="13" t="s">
        <v>1080</v>
      </c>
      <c r="J142" s="13" t="s">
        <v>1081</v>
      </c>
      <c r="K142" s="13" t="s">
        <v>1082</v>
      </c>
      <c r="L142" s="13" t="s">
        <v>1083</v>
      </c>
      <c r="M142" s="13" t="s">
        <v>49</v>
      </c>
      <c r="N142" s="13" t="s">
        <v>176</v>
      </c>
      <c r="O142" s="13" t="s">
        <v>177</v>
      </c>
      <c r="P142" s="13" t="s">
        <v>178</v>
      </c>
      <c r="Q142" s="13" t="s">
        <v>188</v>
      </c>
      <c r="R142" s="13"/>
      <c r="S142" s="13" t="s">
        <v>196</v>
      </c>
      <c r="T142" s="13" t="s">
        <v>1047</v>
      </c>
    </row>
    <row r="143" spans="1:20" ht="95.25" customHeight="1" x14ac:dyDescent="0.3">
      <c r="A143" s="13" t="s">
        <v>1084</v>
      </c>
      <c r="B143" s="13" t="s">
        <v>118</v>
      </c>
      <c r="C143" s="13" t="s">
        <v>119</v>
      </c>
      <c r="D143" s="13" t="s">
        <v>1085</v>
      </c>
      <c r="E143" s="13" t="s">
        <v>237</v>
      </c>
      <c r="F143" s="13" t="s">
        <v>624</v>
      </c>
      <c r="G143" s="13" t="s">
        <v>652</v>
      </c>
      <c r="H143" s="13" t="s">
        <v>696</v>
      </c>
      <c r="I143" s="13" t="s">
        <v>1086</v>
      </c>
      <c r="J143" s="13" t="s">
        <v>1087</v>
      </c>
      <c r="K143" s="13" t="s">
        <v>655</v>
      </c>
      <c r="L143" s="13" t="s">
        <v>888</v>
      </c>
      <c r="M143" s="13" t="s">
        <v>49</v>
      </c>
      <c r="N143" s="13" t="s">
        <v>176</v>
      </c>
      <c r="O143" s="13" t="s">
        <v>177</v>
      </c>
      <c r="P143" s="13" t="s">
        <v>178</v>
      </c>
      <c r="Q143" s="13" t="s">
        <v>188</v>
      </c>
      <c r="R143" s="13"/>
      <c r="S143" s="13" t="s">
        <v>580</v>
      </c>
      <c r="T143" s="13" t="s">
        <v>1047</v>
      </c>
    </row>
    <row r="144" spans="1:20" ht="149.25" customHeight="1" x14ac:dyDescent="0.3">
      <c r="A144" s="13" t="s">
        <v>1088</v>
      </c>
      <c r="B144" s="13" t="s">
        <v>118</v>
      </c>
      <c r="C144" s="13" t="s">
        <v>119</v>
      </c>
      <c r="D144" s="13" t="s">
        <v>1089</v>
      </c>
      <c r="E144" s="14" t="s">
        <v>54</v>
      </c>
      <c r="F144" s="13" t="s">
        <v>356</v>
      </c>
      <c r="G144" s="13" t="s">
        <v>879</v>
      </c>
      <c r="H144" s="13" t="s">
        <v>696</v>
      </c>
      <c r="I144" s="13" t="s">
        <v>1090</v>
      </c>
      <c r="J144" s="13" t="s">
        <v>1091</v>
      </c>
      <c r="K144" s="13" t="s">
        <v>1092</v>
      </c>
      <c r="L144" s="13" t="s">
        <v>1093</v>
      </c>
      <c r="M144" s="13" t="s">
        <v>49</v>
      </c>
      <c r="N144" s="13" t="s">
        <v>176</v>
      </c>
      <c r="O144" s="13" t="s">
        <v>177</v>
      </c>
      <c r="P144" s="13" t="s">
        <v>178</v>
      </c>
      <c r="Q144" s="13" t="s">
        <v>188</v>
      </c>
      <c r="R144" s="13"/>
      <c r="S144" s="13" t="s">
        <v>334</v>
      </c>
      <c r="T144" s="13" t="s">
        <v>1047</v>
      </c>
    </row>
    <row r="145" spans="1:20" ht="95.25" customHeight="1" x14ac:dyDescent="0.3">
      <c r="A145" s="13" t="s">
        <v>1094</v>
      </c>
      <c r="B145" s="13" t="s">
        <v>118</v>
      </c>
      <c r="C145" s="13" t="s">
        <v>119</v>
      </c>
      <c r="D145" s="13" t="s">
        <v>1095</v>
      </c>
      <c r="E145" s="13" t="s">
        <v>58</v>
      </c>
      <c r="F145" s="13" t="s">
        <v>321</v>
      </c>
      <c r="G145" s="13" t="s">
        <v>322</v>
      </c>
      <c r="H145" s="13" t="s">
        <v>696</v>
      </c>
      <c r="I145" s="13" t="s">
        <v>1096</v>
      </c>
      <c r="J145" s="13" t="s">
        <v>892</v>
      </c>
      <c r="K145" s="13" t="s">
        <v>893</v>
      </c>
      <c r="L145" s="13" t="s">
        <v>894</v>
      </c>
      <c r="M145" s="13" t="s">
        <v>49</v>
      </c>
      <c r="N145" s="13" t="s">
        <v>176</v>
      </c>
      <c r="O145" s="13" t="s">
        <v>177</v>
      </c>
      <c r="P145" s="13" t="s">
        <v>178</v>
      </c>
      <c r="Q145" s="13" t="s">
        <v>188</v>
      </c>
      <c r="R145" s="13"/>
      <c r="S145" s="13" t="s">
        <v>334</v>
      </c>
      <c r="T145" s="13" t="s">
        <v>1047</v>
      </c>
    </row>
    <row r="146" spans="1:20" ht="175.5" customHeight="1" x14ac:dyDescent="0.3">
      <c r="A146" s="13" t="s">
        <v>1097</v>
      </c>
      <c r="B146" s="13" t="s">
        <v>118</v>
      </c>
      <c r="C146" s="13" t="s">
        <v>119</v>
      </c>
      <c r="D146" s="13" t="s">
        <v>1098</v>
      </c>
      <c r="E146" s="14" t="s">
        <v>54</v>
      </c>
      <c r="F146" s="13" t="s">
        <v>1021</v>
      </c>
      <c r="G146" s="13" t="s">
        <v>1099</v>
      </c>
      <c r="H146" s="13" t="s">
        <v>696</v>
      </c>
      <c r="I146" s="13" t="s">
        <v>1100</v>
      </c>
      <c r="J146" s="13" t="s">
        <v>1101</v>
      </c>
      <c r="K146" s="13" t="s">
        <v>1102</v>
      </c>
      <c r="L146" s="13" t="s">
        <v>1103</v>
      </c>
      <c r="M146" s="13" t="s">
        <v>49</v>
      </c>
      <c r="N146" s="13" t="s">
        <v>176</v>
      </c>
      <c r="O146" s="13" t="s">
        <v>177</v>
      </c>
      <c r="P146" s="13" t="s">
        <v>178</v>
      </c>
      <c r="Q146" s="13" t="s">
        <v>188</v>
      </c>
      <c r="R146" s="13"/>
      <c r="S146" s="13" t="s">
        <v>318</v>
      </c>
      <c r="T146" s="13" t="s">
        <v>1047</v>
      </c>
    </row>
    <row r="147" spans="1:20" ht="95.25" customHeight="1" x14ac:dyDescent="0.3">
      <c r="A147" s="13" t="s">
        <v>1104</v>
      </c>
      <c r="B147" s="13" t="s">
        <v>122</v>
      </c>
      <c r="C147" s="13" t="s">
        <v>123</v>
      </c>
      <c r="D147" s="13" t="s">
        <v>1105</v>
      </c>
      <c r="E147" s="13" t="s">
        <v>58</v>
      </c>
      <c r="F147" s="13" t="s">
        <v>169</v>
      </c>
      <c r="G147" s="13" t="s">
        <v>1106</v>
      </c>
      <c r="H147" s="13" t="s">
        <v>696</v>
      </c>
      <c r="I147" s="13" t="s">
        <v>1107</v>
      </c>
      <c r="J147" s="13" t="s">
        <v>566</v>
      </c>
      <c r="K147" s="13" t="s">
        <v>1108</v>
      </c>
      <c r="L147" s="13" t="s">
        <v>1109</v>
      </c>
      <c r="M147" s="13" t="s">
        <v>49</v>
      </c>
      <c r="N147" s="13" t="s">
        <v>176</v>
      </c>
      <c r="O147" s="13" t="s">
        <v>177</v>
      </c>
      <c r="P147" s="13" t="s">
        <v>178</v>
      </c>
      <c r="Q147" s="13" t="s">
        <v>178</v>
      </c>
      <c r="R147" s="13" t="s">
        <v>1110</v>
      </c>
      <c r="S147" s="13" t="s">
        <v>196</v>
      </c>
      <c r="T147" s="13" t="s">
        <v>1111</v>
      </c>
    </row>
    <row r="148" spans="1:20" ht="95.25" customHeight="1" x14ac:dyDescent="0.3">
      <c r="A148" s="13" t="s">
        <v>1112</v>
      </c>
      <c r="B148" s="13" t="s">
        <v>122</v>
      </c>
      <c r="C148" s="13" t="s">
        <v>123</v>
      </c>
      <c r="D148" s="13" t="s">
        <v>1113</v>
      </c>
      <c r="E148" s="13" t="s">
        <v>58</v>
      </c>
      <c r="F148" s="13" t="s">
        <v>1114</v>
      </c>
      <c r="G148" s="13" t="s">
        <v>1115</v>
      </c>
      <c r="H148" s="13" t="s">
        <v>696</v>
      </c>
      <c r="I148" s="13" t="s">
        <v>1116</v>
      </c>
      <c r="J148" s="13" t="s">
        <v>1117</v>
      </c>
      <c r="K148" s="13" t="s">
        <v>1118</v>
      </c>
      <c r="L148" s="13" t="s">
        <v>1119</v>
      </c>
      <c r="M148" s="13" t="s">
        <v>49</v>
      </c>
      <c r="N148" s="13" t="s">
        <v>176</v>
      </c>
      <c r="O148" s="13" t="s">
        <v>177</v>
      </c>
      <c r="P148" s="13" t="s">
        <v>178</v>
      </c>
      <c r="Q148" s="13" t="s">
        <v>188</v>
      </c>
      <c r="R148" s="13"/>
      <c r="S148" s="13" t="s">
        <v>1120</v>
      </c>
      <c r="T148" s="13" t="s">
        <v>1111</v>
      </c>
    </row>
    <row r="149" spans="1:20" ht="108.75" customHeight="1" x14ac:dyDescent="0.3">
      <c r="A149" s="13" t="s">
        <v>1121</v>
      </c>
      <c r="B149" s="13" t="s">
        <v>122</v>
      </c>
      <c r="C149" s="13" t="s">
        <v>123</v>
      </c>
      <c r="D149" s="13" t="s">
        <v>1122</v>
      </c>
      <c r="E149" s="13" t="s">
        <v>58</v>
      </c>
      <c r="F149" s="13" t="s">
        <v>1114</v>
      </c>
      <c r="G149" s="13" t="s">
        <v>1123</v>
      </c>
      <c r="H149" s="13" t="s">
        <v>696</v>
      </c>
      <c r="I149" s="13" t="s">
        <v>1124</v>
      </c>
      <c r="J149" s="13" t="s">
        <v>1125</v>
      </c>
      <c r="K149" s="13" t="s">
        <v>1126</v>
      </c>
      <c r="L149" s="13" t="s">
        <v>1127</v>
      </c>
      <c r="M149" s="13" t="s">
        <v>49</v>
      </c>
      <c r="N149" s="13" t="s">
        <v>176</v>
      </c>
      <c r="O149" s="13" t="s">
        <v>195</v>
      </c>
      <c r="P149" s="13" t="s">
        <v>178</v>
      </c>
      <c r="Q149" s="13" t="s">
        <v>188</v>
      </c>
      <c r="R149" s="13" t="s">
        <v>1128</v>
      </c>
      <c r="S149" s="13" t="s">
        <v>1120</v>
      </c>
      <c r="T149" s="13" t="s">
        <v>1111</v>
      </c>
    </row>
    <row r="150" spans="1:20" ht="175.5" customHeight="1" x14ac:dyDescent="0.3">
      <c r="A150" s="13" t="s">
        <v>1129</v>
      </c>
      <c r="B150" s="13" t="s">
        <v>122</v>
      </c>
      <c r="C150" s="13" t="s">
        <v>123</v>
      </c>
      <c r="D150" s="13" t="s">
        <v>1130</v>
      </c>
      <c r="E150" s="13" t="s">
        <v>58</v>
      </c>
      <c r="F150" s="13" t="s">
        <v>1114</v>
      </c>
      <c r="G150" s="13" t="s">
        <v>1131</v>
      </c>
      <c r="H150" s="13" t="s">
        <v>696</v>
      </c>
      <c r="I150" s="13" t="s">
        <v>1132</v>
      </c>
      <c r="J150" s="13" t="s">
        <v>1133</v>
      </c>
      <c r="K150" s="13" t="s">
        <v>1134</v>
      </c>
      <c r="L150" s="13" t="s">
        <v>1135</v>
      </c>
      <c r="M150" s="13" t="s">
        <v>49</v>
      </c>
      <c r="N150" s="13" t="s">
        <v>176</v>
      </c>
      <c r="O150" s="13" t="s">
        <v>177</v>
      </c>
      <c r="P150" s="13" t="s">
        <v>178</v>
      </c>
      <c r="Q150" s="13" t="s">
        <v>188</v>
      </c>
      <c r="R150" s="13"/>
      <c r="S150" s="13" t="s">
        <v>1120</v>
      </c>
      <c r="T150" s="13" t="s">
        <v>1111</v>
      </c>
    </row>
    <row r="151" spans="1:20" ht="95.25" customHeight="1" x14ac:dyDescent="0.3">
      <c r="A151" s="13" t="s">
        <v>1136</v>
      </c>
      <c r="B151" s="13" t="s">
        <v>122</v>
      </c>
      <c r="C151" s="13" t="s">
        <v>123</v>
      </c>
      <c r="D151" s="13" t="s">
        <v>1137</v>
      </c>
      <c r="E151" s="13" t="s">
        <v>58</v>
      </c>
      <c r="F151" s="13" t="s">
        <v>169</v>
      </c>
      <c r="G151" s="13" t="s">
        <v>1138</v>
      </c>
      <c r="H151" s="13" t="s">
        <v>696</v>
      </c>
      <c r="I151" s="13" t="s">
        <v>1139</v>
      </c>
      <c r="J151" s="13" t="s">
        <v>1140</v>
      </c>
      <c r="K151" s="13" t="s">
        <v>1141</v>
      </c>
      <c r="L151" s="13" t="s">
        <v>1142</v>
      </c>
      <c r="M151" s="13" t="s">
        <v>49</v>
      </c>
      <c r="N151" s="13" t="s">
        <v>176</v>
      </c>
      <c r="O151" s="13" t="s">
        <v>177</v>
      </c>
      <c r="P151" s="13" t="s">
        <v>178</v>
      </c>
      <c r="Q151" s="13" t="s">
        <v>188</v>
      </c>
      <c r="R151" s="13"/>
      <c r="S151" s="13" t="s">
        <v>189</v>
      </c>
      <c r="T151" s="13" t="s">
        <v>1111</v>
      </c>
    </row>
    <row r="152" spans="1:20" ht="95.25" customHeight="1" x14ac:dyDescent="0.3">
      <c r="A152" s="13" t="s">
        <v>1143</v>
      </c>
      <c r="B152" s="13" t="s">
        <v>122</v>
      </c>
      <c r="C152" s="13" t="s">
        <v>123</v>
      </c>
      <c r="D152" s="13" t="s">
        <v>1144</v>
      </c>
      <c r="E152" s="13" t="s">
        <v>237</v>
      </c>
      <c r="F152" s="13" t="s">
        <v>169</v>
      </c>
      <c r="G152" s="13" t="s">
        <v>1138</v>
      </c>
      <c r="H152" s="13" t="s">
        <v>696</v>
      </c>
      <c r="I152" s="13" t="s">
        <v>1145</v>
      </c>
      <c r="J152" s="13" t="s">
        <v>1146</v>
      </c>
      <c r="K152" s="13" t="s">
        <v>1147</v>
      </c>
      <c r="L152" s="13" t="s">
        <v>1148</v>
      </c>
      <c r="M152" s="13" t="s">
        <v>49</v>
      </c>
      <c r="N152" s="13" t="s">
        <v>176</v>
      </c>
      <c r="O152" s="13" t="s">
        <v>177</v>
      </c>
      <c r="P152" s="13" t="s">
        <v>178</v>
      </c>
      <c r="Q152" s="13" t="s">
        <v>188</v>
      </c>
      <c r="R152" s="13"/>
      <c r="S152" s="13" t="s">
        <v>456</v>
      </c>
      <c r="T152" s="13" t="s">
        <v>1111</v>
      </c>
    </row>
    <row r="153" spans="1:20" ht="95.25" customHeight="1" x14ac:dyDescent="0.3">
      <c r="A153" s="13" t="s">
        <v>1149</v>
      </c>
      <c r="B153" s="13" t="s">
        <v>122</v>
      </c>
      <c r="C153" s="13" t="s">
        <v>123</v>
      </c>
      <c r="D153" s="13" t="s">
        <v>1150</v>
      </c>
      <c r="E153" s="13" t="s">
        <v>58</v>
      </c>
      <c r="F153" s="13" t="s">
        <v>250</v>
      </c>
      <c r="G153" s="13" t="s">
        <v>251</v>
      </c>
      <c r="H153" s="13" t="s">
        <v>696</v>
      </c>
      <c r="I153" s="13" t="s">
        <v>1151</v>
      </c>
      <c r="J153" s="13" t="s">
        <v>1152</v>
      </c>
      <c r="K153" s="13" t="s">
        <v>1153</v>
      </c>
      <c r="L153" s="13" t="s">
        <v>1154</v>
      </c>
      <c r="M153" s="13" t="s">
        <v>49</v>
      </c>
      <c r="N153" s="13" t="s">
        <v>176</v>
      </c>
      <c r="O153" s="13" t="s">
        <v>177</v>
      </c>
      <c r="P153" s="13" t="s">
        <v>178</v>
      </c>
      <c r="Q153" s="13" t="s">
        <v>188</v>
      </c>
      <c r="R153" s="13"/>
      <c r="S153" s="13" t="s">
        <v>631</v>
      </c>
      <c r="T153" s="13" t="s">
        <v>1111</v>
      </c>
    </row>
    <row r="154" spans="1:20" ht="95.25" customHeight="1" x14ac:dyDescent="0.3">
      <c r="A154" s="13" t="s">
        <v>1155</v>
      </c>
      <c r="B154" s="13" t="s">
        <v>122</v>
      </c>
      <c r="C154" s="13" t="s">
        <v>123</v>
      </c>
      <c r="D154" s="13" t="s">
        <v>1156</v>
      </c>
      <c r="E154" s="13" t="s">
        <v>355</v>
      </c>
      <c r="F154" s="13" t="s">
        <v>250</v>
      </c>
      <c r="G154" s="13" t="s">
        <v>295</v>
      </c>
      <c r="H154" s="13" t="s">
        <v>696</v>
      </c>
      <c r="I154" s="13" t="s">
        <v>1157</v>
      </c>
      <c r="J154" s="13" t="s">
        <v>1158</v>
      </c>
      <c r="K154" s="13" t="s">
        <v>1159</v>
      </c>
      <c r="L154" s="13" t="s">
        <v>1160</v>
      </c>
      <c r="M154" s="13" t="s">
        <v>49</v>
      </c>
      <c r="N154" s="13" t="s">
        <v>176</v>
      </c>
      <c r="O154" s="13" t="s">
        <v>177</v>
      </c>
      <c r="P154" s="13" t="s">
        <v>178</v>
      </c>
      <c r="Q154" s="13" t="s">
        <v>188</v>
      </c>
      <c r="R154" s="13"/>
      <c r="S154" s="13" t="s">
        <v>211</v>
      </c>
      <c r="T154" s="13" t="s">
        <v>1111</v>
      </c>
    </row>
    <row r="155" spans="1:20" ht="95.25" customHeight="1" x14ac:dyDescent="0.3">
      <c r="A155" s="13" t="s">
        <v>1161</v>
      </c>
      <c r="B155" s="13" t="s">
        <v>122</v>
      </c>
      <c r="C155" s="13" t="s">
        <v>123</v>
      </c>
      <c r="D155" s="13" t="s">
        <v>1162</v>
      </c>
      <c r="E155" s="13" t="s">
        <v>58</v>
      </c>
      <c r="F155" s="13" t="s">
        <v>321</v>
      </c>
      <c r="G155" s="13" t="s">
        <v>322</v>
      </c>
      <c r="H155" s="13" t="s">
        <v>696</v>
      </c>
      <c r="I155" s="13" t="s">
        <v>1163</v>
      </c>
      <c r="J155" s="13" t="s">
        <v>892</v>
      </c>
      <c r="K155" s="13" t="s">
        <v>893</v>
      </c>
      <c r="L155" s="13" t="s">
        <v>894</v>
      </c>
      <c r="M155" s="13" t="s">
        <v>49</v>
      </c>
      <c r="N155" s="13" t="s">
        <v>176</v>
      </c>
      <c r="O155" s="13" t="s">
        <v>177</v>
      </c>
      <c r="P155" s="13" t="s">
        <v>178</v>
      </c>
      <c r="Q155" s="13" t="s">
        <v>188</v>
      </c>
      <c r="R155" s="13"/>
      <c r="S155" s="13" t="s">
        <v>334</v>
      </c>
      <c r="T155" s="13" t="s">
        <v>1111</v>
      </c>
    </row>
    <row r="156" spans="1:20" ht="135.75" customHeight="1" x14ac:dyDescent="0.3">
      <c r="A156" s="13" t="s">
        <v>1164</v>
      </c>
      <c r="B156" s="13" t="s">
        <v>126</v>
      </c>
      <c r="C156" s="13" t="s">
        <v>127</v>
      </c>
      <c r="D156" s="13" t="s">
        <v>1165</v>
      </c>
      <c r="E156" s="14" t="s">
        <v>54</v>
      </c>
      <c r="F156" s="13" t="s">
        <v>169</v>
      </c>
      <c r="G156" s="13" t="s">
        <v>170</v>
      </c>
      <c r="H156" s="13" t="s">
        <v>696</v>
      </c>
      <c r="I156" s="13" t="s">
        <v>1166</v>
      </c>
      <c r="J156" s="13" t="s">
        <v>1167</v>
      </c>
      <c r="K156" s="13" t="s">
        <v>1168</v>
      </c>
      <c r="L156" s="13" t="s">
        <v>1169</v>
      </c>
      <c r="M156" s="13" t="s">
        <v>49</v>
      </c>
      <c r="N156" s="13" t="s">
        <v>176</v>
      </c>
      <c r="O156" s="13" t="s">
        <v>177</v>
      </c>
      <c r="P156" s="13" t="s">
        <v>178</v>
      </c>
      <c r="Q156" s="13" t="s">
        <v>178</v>
      </c>
      <c r="R156" s="13"/>
      <c r="S156" s="13" t="s">
        <v>1170</v>
      </c>
      <c r="T156" s="13" t="s">
        <v>1171</v>
      </c>
    </row>
    <row r="157" spans="1:20" ht="108.75" customHeight="1" x14ac:dyDescent="0.3">
      <c r="A157" s="13" t="s">
        <v>1172</v>
      </c>
      <c r="B157" s="13" t="s">
        <v>126</v>
      </c>
      <c r="C157" s="13" t="s">
        <v>127</v>
      </c>
      <c r="D157" s="13" t="s">
        <v>1173</v>
      </c>
      <c r="E157" s="14" t="s">
        <v>54</v>
      </c>
      <c r="F157" s="13" t="s">
        <v>1021</v>
      </c>
      <c r="G157" s="13" t="s">
        <v>897</v>
      </c>
      <c r="H157" s="13" t="s">
        <v>696</v>
      </c>
      <c r="I157" s="13" t="s">
        <v>1174</v>
      </c>
      <c r="J157" s="13" t="s">
        <v>1175</v>
      </c>
      <c r="K157" s="13" t="s">
        <v>1176</v>
      </c>
      <c r="L157" s="13" t="s">
        <v>1177</v>
      </c>
      <c r="M157" s="13" t="s">
        <v>49</v>
      </c>
      <c r="N157" s="13" t="s">
        <v>176</v>
      </c>
      <c r="O157" s="13" t="s">
        <v>177</v>
      </c>
      <c r="P157" s="13" t="s">
        <v>178</v>
      </c>
      <c r="Q157" s="13" t="s">
        <v>188</v>
      </c>
      <c r="R157" s="13"/>
      <c r="S157" s="13" t="s">
        <v>1178</v>
      </c>
      <c r="T157" s="13" t="s">
        <v>1171</v>
      </c>
    </row>
    <row r="158" spans="1:20" ht="162" customHeight="1" x14ac:dyDescent="0.3">
      <c r="A158" s="13" t="s">
        <v>1179</v>
      </c>
      <c r="B158" s="13" t="s">
        <v>126</v>
      </c>
      <c r="C158" s="13" t="s">
        <v>127</v>
      </c>
      <c r="D158" s="13" t="s">
        <v>1180</v>
      </c>
      <c r="E158" s="13" t="s">
        <v>58</v>
      </c>
      <c r="F158" s="13" t="s">
        <v>169</v>
      </c>
      <c r="G158" s="13" t="s">
        <v>1181</v>
      </c>
      <c r="H158" s="13" t="s">
        <v>696</v>
      </c>
      <c r="I158" s="13" t="s">
        <v>1182</v>
      </c>
      <c r="J158" s="13" t="s">
        <v>1183</v>
      </c>
      <c r="K158" s="13" t="s">
        <v>1184</v>
      </c>
      <c r="L158" s="13" t="s">
        <v>1185</v>
      </c>
      <c r="M158" s="13" t="s">
        <v>49</v>
      </c>
      <c r="N158" s="13" t="s">
        <v>176</v>
      </c>
      <c r="O158" s="13" t="s">
        <v>195</v>
      </c>
      <c r="P158" s="13" t="s">
        <v>178</v>
      </c>
      <c r="Q158" s="13" t="s">
        <v>188</v>
      </c>
      <c r="R158" s="13"/>
      <c r="S158" s="13" t="s">
        <v>203</v>
      </c>
      <c r="T158" s="13" t="s">
        <v>1171</v>
      </c>
    </row>
    <row r="159" spans="1:20" ht="336.75" customHeight="1" x14ac:dyDescent="0.3">
      <c r="A159" s="13" t="s">
        <v>1186</v>
      </c>
      <c r="B159" s="13" t="s">
        <v>126</v>
      </c>
      <c r="C159" s="13" t="s">
        <v>127</v>
      </c>
      <c r="D159" s="13" t="s">
        <v>1187</v>
      </c>
      <c r="E159" s="14" t="s">
        <v>54</v>
      </c>
      <c r="F159" s="13" t="s">
        <v>1188</v>
      </c>
      <c r="G159" s="13" t="s">
        <v>1189</v>
      </c>
      <c r="H159" s="13" t="s">
        <v>696</v>
      </c>
      <c r="I159" s="13" t="s">
        <v>1190</v>
      </c>
      <c r="J159" s="13" t="s">
        <v>1191</v>
      </c>
      <c r="K159" s="13" t="s">
        <v>1192</v>
      </c>
      <c r="L159" s="13" t="s">
        <v>1193</v>
      </c>
      <c r="M159" s="13" t="s">
        <v>49</v>
      </c>
      <c r="N159" s="13" t="s">
        <v>176</v>
      </c>
      <c r="O159" s="13" t="s">
        <v>219</v>
      </c>
      <c r="P159" s="13" t="s">
        <v>178</v>
      </c>
      <c r="Q159" s="13" t="s">
        <v>188</v>
      </c>
      <c r="R159" s="13" t="s">
        <v>1194</v>
      </c>
      <c r="S159" s="13" t="s">
        <v>1195</v>
      </c>
      <c r="T159" s="13" t="s">
        <v>1171</v>
      </c>
    </row>
    <row r="160" spans="1:20" ht="135.75" customHeight="1" x14ac:dyDescent="0.3">
      <c r="A160" s="13" t="s">
        <v>1196</v>
      </c>
      <c r="B160" s="13" t="s">
        <v>126</v>
      </c>
      <c r="C160" s="13" t="s">
        <v>127</v>
      </c>
      <c r="D160" s="13" t="s">
        <v>1197</v>
      </c>
      <c r="E160" s="13" t="s">
        <v>237</v>
      </c>
      <c r="F160" s="13" t="s">
        <v>1198</v>
      </c>
      <c r="G160" s="13" t="s">
        <v>1199</v>
      </c>
      <c r="H160" s="13" t="s">
        <v>696</v>
      </c>
      <c r="I160" s="13" t="s">
        <v>1200</v>
      </c>
      <c r="J160" s="13" t="s">
        <v>1201</v>
      </c>
      <c r="K160" s="13" t="s">
        <v>1202</v>
      </c>
      <c r="L160" s="13" t="s">
        <v>1203</v>
      </c>
      <c r="M160" s="13" t="s">
        <v>49</v>
      </c>
      <c r="N160" s="13" t="s">
        <v>176</v>
      </c>
      <c r="O160" s="13" t="s">
        <v>195</v>
      </c>
      <c r="P160" s="13" t="s">
        <v>178</v>
      </c>
      <c r="Q160" s="13" t="s">
        <v>188</v>
      </c>
      <c r="R160" s="13"/>
      <c r="S160" s="13" t="s">
        <v>1204</v>
      </c>
      <c r="T160" s="13" t="s">
        <v>1171</v>
      </c>
    </row>
    <row r="161" spans="1:20" ht="202.5" customHeight="1" x14ac:dyDescent="0.3">
      <c r="A161" s="13" t="s">
        <v>1205</v>
      </c>
      <c r="B161" s="13" t="s">
        <v>126</v>
      </c>
      <c r="C161" s="13" t="s">
        <v>127</v>
      </c>
      <c r="D161" s="13" t="s">
        <v>1206</v>
      </c>
      <c r="E161" s="13" t="s">
        <v>58</v>
      </c>
      <c r="F161" s="13" t="s">
        <v>1207</v>
      </c>
      <c r="G161" s="13" t="s">
        <v>1208</v>
      </c>
      <c r="H161" s="13" t="s">
        <v>696</v>
      </c>
      <c r="I161" s="13" t="s">
        <v>1209</v>
      </c>
      <c r="J161" s="13" t="s">
        <v>1210</v>
      </c>
      <c r="K161" s="13" t="s">
        <v>1211</v>
      </c>
      <c r="L161" s="13" t="s">
        <v>1212</v>
      </c>
      <c r="M161" s="13" t="s">
        <v>49</v>
      </c>
      <c r="N161" s="13" t="s">
        <v>176</v>
      </c>
      <c r="O161" s="13" t="s">
        <v>177</v>
      </c>
      <c r="P161" s="13" t="s">
        <v>178</v>
      </c>
      <c r="Q161" s="13" t="s">
        <v>188</v>
      </c>
      <c r="R161" s="13"/>
      <c r="S161" s="13" t="s">
        <v>1213</v>
      </c>
      <c r="T161" s="13" t="s">
        <v>1171</v>
      </c>
    </row>
    <row r="162" spans="1:20" ht="336.75" customHeight="1" x14ac:dyDescent="0.3">
      <c r="A162" s="13" t="s">
        <v>1214</v>
      </c>
      <c r="B162" s="13" t="s">
        <v>126</v>
      </c>
      <c r="C162" s="13" t="s">
        <v>127</v>
      </c>
      <c r="D162" s="13" t="s">
        <v>1215</v>
      </c>
      <c r="E162" s="13" t="s">
        <v>58</v>
      </c>
      <c r="F162" s="13" t="s">
        <v>1207</v>
      </c>
      <c r="G162" s="13" t="s">
        <v>1216</v>
      </c>
      <c r="H162" s="13" t="s">
        <v>696</v>
      </c>
      <c r="I162" s="13" t="s">
        <v>1217</v>
      </c>
      <c r="J162" s="13" t="s">
        <v>1218</v>
      </c>
      <c r="K162" s="13" t="s">
        <v>1219</v>
      </c>
      <c r="L162" s="13" t="s">
        <v>1220</v>
      </c>
      <c r="M162" s="13" t="s">
        <v>49</v>
      </c>
      <c r="N162" s="13" t="s">
        <v>176</v>
      </c>
      <c r="O162" s="13" t="s">
        <v>177</v>
      </c>
      <c r="P162" s="13" t="s">
        <v>178</v>
      </c>
      <c r="Q162" s="13" t="s">
        <v>188</v>
      </c>
      <c r="R162" s="13" t="s">
        <v>1221</v>
      </c>
      <c r="S162" s="13" t="s">
        <v>1222</v>
      </c>
      <c r="T162" s="13" t="s">
        <v>1171</v>
      </c>
    </row>
    <row r="163" spans="1:20" ht="175.5" customHeight="1" x14ac:dyDescent="0.3">
      <c r="A163" s="13" t="s">
        <v>1223</v>
      </c>
      <c r="B163" s="13" t="s">
        <v>130</v>
      </c>
      <c r="C163" s="13" t="s">
        <v>127</v>
      </c>
      <c r="D163" s="13" t="s">
        <v>1224</v>
      </c>
      <c r="E163" s="14" t="s">
        <v>54</v>
      </c>
      <c r="F163" s="13" t="s">
        <v>1225</v>
      </c>
      <c r="G163" s="13" t="s">
        <v>1226</v>
      </c>
      <c r="H163" s="13" t="s">
        <v>696</v>
      </c>
      <c r="I163" s="13" t="s">
        <v>1227</v>
      </c>
      <c r="J163" s="13" t="s">
        <v>1228</v>
      </c>
      <c r="K163" s="13" t="s">
        <v>1229</v>
      </c>
      <c r="L163" s="13" t="s">
        <v>1230</v>
      </c>
      <c r="M163" s="13" t="s">
        <v>49</v>
      </c>
      <c r="N163" s="13" t="s">
        <v>176</v>
      </c>
      <c r="O163" s="13" t="s">
        <v>177</v>
      </c>
      <c r="P163" s="13" t="s">
        <v>178</v>
      </c>
      <c r="Q163" s="13" t="s">
        <v>178</v>
      </c>
      <c r="R163" s="13"/>
      <c r="S163" s="13" t="s">
        <v>1231</v>
      </c>
      <c r="T163" s="13" t="s">
        <v>1171</v>
      </c>
    </row>
    <row r="164" spans="1:20" ht="135.75" customHeight="1" x14ac:dyDescent="0.3">
      <c r="A164" s="13" t="s">
        <v>1232</v>
      </c>
      <c r="B164" s="13" t="s">
        <v>130</v>
      </c>
      <c r="C164" s="13" t="s">
        <v>127</v>
      </c>
      <c r="D164" s="13" t="s">
        <v>1233</v>
      </c>
      <c r="E164" s="14" t="s">
        <v>54</v>
      </c>
      <c r="F164" s="13" t="s">
        <v>1225</v>
      </c>
      <c r="G164" s="13" t="s">
        <v>1234</v>
      </c>
      <c r="H164" s="13" t="s">
        <v>696</v>
      </c>
      <c r="I164" s="13" t="s">
        <v>1235</v>
      </c>
      <c r="J164" s="13" t="s">
        <v>1236</v>
      </c>
      <c r="K164" s="13" t="s">
        <v>1237</v>
      </c>
      <c r="L164" s="13" t="s">
        <v>1238</v>
      </c>
      <c r="M164" s="13" t="s">
        <v>49</v>
      </c>
      <c r="N164" s="13" t="s">
        <v>176</v>
      </c>
      <c r="O164" s="13" t="s">
        <v>177</v>
      </c>
      <c r="P164" s="13" t="s">
        <v>178</v>
      </c>
      <c r="Q164" s="13" t="s">
        <v>188</v>
      </c>
      <c r="R164" s="13"/>
      <c r="S164" s="13" t="s">
        <v>318</v>
      </c>
      <c r="T164" s="13" t="s">
        <v>1171</v>
      </c>
    </row>
    <row r="165" spans="1:20" ht="162" customHeight="1" x14ac:dyDescent="0.3">
      <c r="A165" s="13" t="s">
        <v>1239</v>
      </c>
      <c r="B165" s="13" t="s">
        <v>130</v>
      </c>
      <c r="C165" s="13" t="s">
        <v>127</v>
      </c>
      <c r="D165" s="13" t="s">
        <v>1240</v>
      </c>
      <c r="E165" s="14" t="s">
        <v>54</v>
      </c>
      <c r="F165" s="13" t="s">
        <v>1241</v>
      </c>
      <c r="G165" s="13" t="s">
        <v>1242</v>
      </c>
      <c r="H165" s="13" t="s">
        <v>696</v>
      </c>
      <c r="I165" s="13" t="s">
        <v>1243</v>
      </c>
      <c r="J165" s="13" t="s">
        <v>1244</v>
      </c>
      <c r="K165" s="13" t="s">
        <v>1245</v>
      </c>
      <c r="L165" s="13" t="s">
        <v>1246</v>
      </c>
      <c r="M165" s="13" t="s">
        <v>49</v>
      </c>
      <c r="N165" s="13" t="s">
        <v>176</v>
      </c>
      <c r="O165" s="13" t="s">
        <v>177</v>
      </c>
      <c r="P165" s="13" t="s">
        <v>178</v>
      </c>
      <c r="Q165" s="13" t="s">
        <v>188</v>
      </c>
      <c r="R165" s="13"/>
      <c r="S165" s="13" t="s">
        <v>220</v>
      </c>
      <c r="T165" s="13" t="s">
        <v>1171</v>
      </c>
    </row>
    <row r="166" spans="1:20" ht="122.25" customHeight="1" x14ac:dyDescent="0.3">
      <c r="A166" s="13" t="s">
        <v>1247</v>
      </c>
      <c r="B166" s="13" t="s">
        <v>130</v>
      </c>
      <c r="C166" s="13" t="s">
        <v>127</v>
      </c>
      <c r="D166" s="13" t="s">
        <v>1248</v>
      </c>
      <c r="E166" s="14" t="s">
        <v>54</v>
      </c>
      <c r="F166" s="13" t="s">
        <v>250</v>
      </c>
      <c r="G166" s="13" t="s">
        <v>1249</v>
      </c>
      <c r="H166" s="13" t="s">
        <v>696</v>
      </c>
      <c r="I166" s="13" t="s">
        <v>1250</v>
      </c>
      <c r="J166" s="13" t="s">
        <v>1251</v>
      </c>
      <c r="K166" s="13" t="s">
        <v>1252</v>
      </c>
      <c r="L166" s="13" t="s">
        <v>1253</v>
      </c>
      <c r="M166" s="13" t="s">
        <v>49</v>
      </c>
      <c r="N166" s="13" t="s">
        <v>176</v>
      </c>
      <c r="O166" s="13" t="s">
        <v>177</v>
      </c>
      <c r="P166" s="13" t="s">
        <v>178</v>
      </c>
      <c r="Q166" s="13" t="s">
        <v>188</v>
      </c>
      <c r="R166" s="13"/>
      <c r="S166" s="13" t="s">
        <v>1254</v>
      </c>
      <c r="T166" s="13" t="s">
        <v>1171</v>
      </c>
    </row>
    <row r="167" spans="1:20" ht="202.5" customHeight="1" x14ac:dyDescent="0.3">
      <c r="A167" s="13" t="s">
        <v>1255</v>
      </c>
      <c r="B167" s="13" t="s">
        <v>130</v>
      </c>
      <c r="C167" s="13" t="s">
        <v>127</v>
      </c>
      <c r="D167" s="13" t="s">
        <v>1256</v>
      </c>
      <c r="E167" s="13" t="s">
        <v>58</v>
      </c>
      <c r="F167" s="13" t="s">
        <v>214</v>
      </c>
      <c r="G167" s="13" t="s">
        <v>1257</v>
      </c>
      <c r="H167" s="13" t="s">
        <v>696</v>
      </c>
      <c r="I167" s="13" t="s">
        <v>1258</v>
      </c>
      <c r="J167" s="13" t="s">
        <v>1259</v>
      </c>
      <c r="K167" s="13" t="s">
        <v>1260</v>
      </c>
      <c r="L167" s="13" t="s">
        <v>1261</v>
      </c>
      <c r="M167" s="13" t="s">
        <v>49</v>
      </c>
      <c r="N167" s="13" t="s">
        <v>176</v>
      </c>
      <c r="O167" s="13" t="s">
        <v>219</v>
      </c>
      <c r="P167" s="13" t="s">
        <v>178</v>
      </c>
      <c r="Q167" s="13" t="s">
        <v>188</v>
      </c>
      <c r="R167" s="13"/>
      <c r="S167" s="13" t="s">
        <v>1262</v>
      </c>
      <c r="T167" s="13" t="s">
        <v>1171</v>
      </c>
    </row>
    <row r="168" spans="1:20" ht="202.5" customHeight="1" x14ac:dyDescent="0.3">
      <c r="A168" s="13" t="s">
        <v>1263</v>
      </c>
      <c r="B168" s="13" t="s">
        <v>130</v>
      </c>
      <c r="C168" s="13" t="s">
        <v>127</v>
      </c>
      <c r="D168" s="13" t="s">
        <v>1264</v>
      </c>
      <c r="E168" s="13" t="s">
        <v>237</v>
      </c>
      <c r="F168" s="13" t="s">
        <v>214</v>
      </c>
      <c r="G168" s="13" t="s">
        <v>1265</v>
      </c>
      <c r="H168" s="13" t="s">
        <v>696</v>
      </c>
      <c r="I168" s="13" t="s">
        <v>1266</v>
      </c>
      <c r="J168" s="13" t="s">
        <v>1267</v>
      </c>
      <c r="K168" s="13" t="s">
        <v>1268</v>
      </c>
      <c r="L168" s="13" t="s">
        <v>1269</v>
      </c>
      <c r="M168" s="13" t="s">
        <v>49</v>
      </c>
      <c r="N168" s="13" t="s">
        <v>176</v>
      </c>
      <c r="O168" s="13" t="s">
        <v>219</v>
      </c>
      <c r="P168" s="13" t="s">
        <v>178</v>
      </c>
      <c r="Q168" s="13" t="s">
        <v>188</v>
      </c>
      <c r="R168" s="13"/>
      <c r="S168" s="13" t="s">
        <v>1270</v>
      </c>
      <c r="T168" s="13" t="s">
        <v>1171</v>
      </c>
    </row>
    <row r="169" spans="1:20" ht="162" customHeight="1" x14ac:dyDescent="0.3">
      <c r="A169" s="13" t="s">
        <v>1271</v>
      </c>
      <c r="B169" s="13" t="s">
        <v>130</v>
      </c>
      <c r="C169" s="13" t="s">
        <v>127</v>
      </c>
      <c r="D169" s="13" t="s">
        <v>1272</v>
      </c>
      <c r="E169" s="13" t="s">
        <v>58</v>
      </c>
      <c r="F169" s="13" t="s">
        <v>1273</v>
      </c>
      <c r="G169" s="13" t="s">
        <v>1274</v>
      </c>
      <c r="H169" s="13" t="s">
        <v>696</v>
      </c>
      <c r="I169" s="13" t="s">
        <v>1275</v>
      </c>
      <c r="J169" s="13" t="s">
        <v>1276</v>
      </c>
      <c r="K169" s="13" t="s">
        <v>1277</v>
      </c>
      <c r="L169" s="13" t="s">
        <v>1278</v>
      </c>
      <c r="M169" s="13" t="s">
        <v>49</v>
      </c>
      <c r="N169" s="13" t="s">
        <v>176</v>
      </c>
      <c r="O169" s="13" t="s">
        <v>177</v>
      </c>
      <c r="P169" s="13" t="s">
        <v>178</v>
      </c>
      <c r="Q169" s="13" t="s">
        <v>188</v>
      </c>
      <c r="R169" s="13"/>
      <c r="S169" s="13" t="s">
        <v>1279</v>
      </c>
      <c r="T169" s="13" t="s">
        <v>1171</v>
      </c>
    </row>
    <row r="170" spans="1:20" ht="162" customHeight="1" x14ac:dyDescent="0.3">
      <c r="A170" s="13" t="s">
        <v>1280</v>
      </c>
      <c r="B170" s="13" t="s">
        <v>130</v>
      </c>
      <c r="C170" s="13" t="s">
        <v>127</v>
      </c>
      <c r="D170" s="13" t="s">
        <v>1281</v>
      </c>
      <c r="E170" s="13" t="s">
        <v>237</v>
      </c>
      <c r="F170" s="13" t="s">
        <v>1273</v>
      </c>
      <c r="G170" s="13" t="s">
        <v>1282</v>
      </c>
      <c r="H170" s="13" t="s">
        <v>696</v>
      </c>
      <c r="I170" s="13" t="s">
        <v>1283</v>
      </c>
      <c r="J170" s="13" t="s">
        <v>1284</v>
      </c>
      <c r="K170" s="13" t="s">
        <v>1285</v>
      </c>
      <c r="L170" s="13" t="s">
        <v>1286</v>
      </c>
      <c r="M170" s="13" t="s">
        <v>49</v>
      </c>
      <c r="N170" s="13" t="s">
        <v>176</v>
      </c>
      <c r="O170" s="13" t="s">
        <v>177</v>
      </c>
      <c r="P170" s="13" t="s">
        <v>178</v>
      </c>
      <c r="Q170" s="13" t="s">
        <v>188</v>
      </c>
      <c r="R170" s="13"/>
      <c r="S170" s="13" t="s">
        <v>1231</v>
      </c>
      <c r="T170" s="13" t="s">
        <v>1171</v>
      </c>
    </row>
    <row r="171" spans="1:20" ht="135.75" customHeight="1" x14ac:dyDescent="0.3">
      <c r="A171" s="13" t="s">
        <v>1287</v>
      </c>
      <c r="B171" s="13" t="s">
        <v>133</v>
      </c>
      <c r="C171" s="13" t="s">
        <v>127</v>
      </c>
      <c r="D171" s="13" t="s">
        <v>1288</v>
      </c>
      <c r="E171" s="13" t="s">
        <v>58</v>
      </c>
      <c r="F171" s="13" t="s">
        <v>250</v>
      </c>
      <c r="G171" s="13" t="s">
        <v>758</v>
      </c>
      <c r="H171" s="13" t="s">
        <v>696</v>
      </c>
      <c r="I171" s="13" t="s">
        <v>1289</v>
      </c>
      <c r="J171" s="13" t="s">
        <v>1290</v>
      </c>
      <c r="K171" s="13" t="s">
        <v>1291</v>
      </c>
      <c r="L171" s="13" t="s">
        <v>1292</v>
      </c>
      <c r="M171" s="13" t="s">
        <v>49</v>
      </c>
      <c r="N171" s="13" t="s">
        <v>176</v>
      </c>
      <c r="O171" s="13" t="s">
        <v>177</v>
      </c>
      <c r="P171" s="13" t="s">
        <v>178</v>
      </c>
      <c r="Q171" s="13" t="s">
        <v>188</v>
      </c>
      <c r="R171" s="13"/>
      <c r="S171" s="13" t="s">
        <v>1293</v>
      </c>
      <c r="T171" s="13" t="s">
        <v>1171</v>
      </c>
    </row>
    <row r="172" spans="1:20" ht="270" customHeight="1" x14ac:dyDescent="0.3">
      <c r="A172" s="13" t="s">
        <v>1294</v>
      </c>
      <c r="B172" s="13" t="s">
        <v>133</v>
      </c>
      <c r="C172" s="13" t="s">
        <v>127</v>
      </c>
      <c r="D172" s="13" t="s">
        <v>1295</v>
      </c>
      <c r="E172" s="13" t="s">
        <v>58</v>
      </c>
      <c r="F172" s="13" t="s">
        <v>250</v>
      </c>
      <c r="G172" s="13" t="s">
        <v>1296</v>
      </c>
      <c r="H172" s="13" t="s">
        <v>696</v>
      </c>
      <c r="I172" s="13" t="s">
        <v>1297</v>
      </c>
      <c r="J172" s="13" t="s">
        <v>1298</v>
      </c>
      <c r="K172" s="13" t="s">
        <v>1299</v>
      </c>
      <c r="L172" s="13" t="s">
        <v>1300</v>
      </c>
      <c r="M172" s="13" t="s">
        <v>49</v>
      </c>
      <c r="N172" s="13" t="s">
        <v>176</v>
      </c>
      <c r="O172" s="13" t="s">
        <v>177</v>
      </c>
      <c r="P172" s="13" t="s">
        <v>178</v>
      </c>
      <c r="Q172" s="13" t="s">
        <v>188</v>
      </c>
      <c r="R172" s="13"/>
      <c r="S172" s="13" t="s">
        <v>211</v>
      </c>
      <c r="T172" s="13" t="s">
        <v>1171</v>
      </c>
    </row>
    <row r="173" spans="1:20" ht="122.25" customHeight="1" x14ac:dyDescent="0.3">
      <c r="A173" s="13" t="s">
        <v>1301</v>
      </c>
      <c r="B173" s="13" t="s">
        <v>133</v>
      </c>
      <c r="C173" s="13" t="s">
        <v>127</v>
      </c>
      <c r="D173" s="13" t="s">
        <v>1302</v>
      </c>
      <c r="E173" s="13" t="s">
        <v>237</v>
      </c>
      <c r="F173" s="13" t="s">
        <v>250</v>
      </c>
      <c r="G173" s="13" t="s">
        <v>1303</v>
      </c>
      <c r="H173" s="13" t="s">
        <v>696</v>
      </c>
      <c r="I173" s="13" t="s">
        <v>1304</v>
      </c>
      <c r="J173" s="13" t="s">
        <v>1305</v>
      </c>
      <c r="K173" s="13" t="s">
        <v>1306</v>
      </c>
      <c r="L173" s="13" t="s">
        <v>1307</v>
      </c>
      <c r="M173" s="13" t="s">
        <v>49</v>
      </c>
      <c r="N173" s="13" t="s">
        <v>176</v>
      </c>
      <c r="O173" s="13" t="s">
        <v>177</v>
      </c>
      <c r="P173" s="13" t="s">
        <v>178</v>
      </c>
      <c r="Q173" s="13" t="s">
        <v>188</v>
      </c>
      <c r="R173" s="13"/>
      <c r="S173" s="13" t="s">
        <v>816</v>
      </c>
      <c r="T173" s="13" t="s">
        <v>1171</v>
      </c>
    </row>
    <row r="174" spans="1:20" ht="135.75" customHeight="1" x14ac:dyDescent="0.3">
      <c r="A174" s="13" t="s">
        <v>1308</v>
      </c>
      <c r="B174" s="13" t="s">
        <v>133</v>
      </c>
      <c r="C174" s="13" t="s">
        <v>127</v>
      </c>
      <c r="D174" s="13" t="s">
        <v>1309</v>
      </c>
      <c r="E174" s="14" t="s">
        <v>54</v>
      </c>
      <c r="F174" s="13" t="s">
        <v>364</v>
      </c>
      <c r="G174" s="13" t="s">
        <v>1310</v>
      </c>
      <c r="H174" s="13" t="s">
        <v>696</v>
      </c>
      <c r="I174" s="13" t="s">
        <v>1311</v>
      </c>
      <c r="J174" s="13" t="s">
        <v>1312</v>
      </c>
      <c r="K174" s="13" t="s">
        <v>1313</v>
      </c>
      <c r="L174" s="13" t="s">
        <v>1314</v>
      </c>
      <c r="M174" s="13" t="s">
        <v>49</v>
      </c>
      <c r="N174" s="13" t="s">
        <v>176</v>
      </c>
      <c r="O174" s="13" t="s">
        <v>177</v>
      </c>
      <c r="P174" s="13" t="s">
        <v>178</v>
      </c>
      <c r="Q174" s="13" t="s">
        <v>188</v>
      </c>
      <c r="R174" s="13"/>
      <c r="S174" s="13" t="s">
        <v>1315</v>
      </c>
      <c r="T174" s="13" t="s">
        <v>1171</v>
      </c>
    </row>
    <row r="175" spans="1:20" ht="270" customHeight="1" x14ac:dyDescent="0.3">
      <c r="A175" s="13" t="s">
        <v>1316</v>
      </c>
      <c r="B175" s="13" t="s">
        <v>133</v>
      </c>
      <c r="C175" s="13" t="s">
        <v>127</v>
      </c>
      <c r="D175" s="13" t="s">
        <v>1317</v>
      </c>
      <c r="E175" s="13" t="s">
        <v>58</v>
      </c>
      <c r="F175" s="13" t="s">
        <v>364</v>
      </c>
      <c r="G175" s="13" t="s">
        <v>1318</v>
      </c>
      <c r="H175" s="13" t="s">
        <v>696</v>
      </c>
      <c r="I175" s="13" t="s">
        <v>1319</v>
      </c>
      <c r="J175" s="13" t="s">
        <v>1320</v>
      </c>
      <c r="K175" s="13" t="s">
        <v>1321</v>
      </c>
      <c r="L175" s="13" t="s">
        <v>1322</v>
      </c>
      <c r="M175" s="13" t="s">
        <v>49</v>
      </c>
      <c r="N175" s="13" t="s">
        <v>176</v>
      </c>
      <c r="O175" s="13" t="s">
        <v>177</v>
      </c>
      <c r="P175" s="13" t="s">
        <v>178</v>
      </c>
      <c r="Q175" s="13" t="s">
        <v>188</v>
      </c>
      <c r="R175" s="13"/>
      <c r="S175" s="13" t="s">
        <v>211</v>
      </c>
      <c r="T175" s="13" t="s">
        <v>1171</v>
      </c>
    </row>
    <row r="176" spans="1:20" ht="202.5" customHeight="1" x14ac:dyDescent="0.3">
      <c r="A176" s="13" t="s">
        <v>1323</v>
      </c>
      <c r="B176" s="13" t="s">
        <v>133</v>
      </c>
      <c r="C176" s="13" t="s">
        <v>127</v>
      </c>
      <c r="D176" s="13" t="s">
        <v>1324</v>
      </c>
      <c r="E176" s="14" t="s">
        <v>54</v>
      </c>
      <c r="F176" s="13" t="s">
        <v>414</v>
      </c>
      <c r="G176" s="13" t="s">
        <v>1325</v>
      </c>
      <c r="H176" s="13" t="s">
        <v>696</v>
      </c>
      <c r="I176" s="13" t="s">
        <v>1326</v>
      </c>
      <c r="J176" s="13" t="s">
        <v>1327</v>
      </c>
      <c r="K176" s="13" t="s">
        <v>1328</v>
      </c>
      <c r="L176" s="13" t="s">
        <v>1329</v>
      </c>
      <c r="M176" s="13" t="s">
        <v>49</v>
      </c>
      <c r="N176" s="13" t="s">
        <v>176</v>
      </c>
      <c r="O176" s="13" t="s">
        <v>219</v>
      </c>
      <c r="P176" s="13" t="s">
        <v>178</v>
      </c>
      <c r="Q176" s="13" t="s">
        <v>188</v>
      </c>
      <c r="R176" s="13"/>
      <c r="S176" s="13" t="s">
        <v>384</v>
      </c>
      <c r="T176" s="13" t="s">
        <v>1171</v>
      </c>
    </row>
    <row r="177" spans="1:20" ht="202.5" customHeight="1" x14ac:dyDescent="0.3">
      <c r="A177" s="13" t="s">
        <v>1330</v>
      </c>
      <c r="B177" s="13" t="s">
        <v>133</v>
      </c>
      <c r="C177" s="13" t="s">
        <v>127</v>
      </c>
      <c r="D177" s="13" t="s">
        <v>1331</v>
      </c>
      <c r="E177" s="13" t="s">
        <v>58</v>
      </c>
      <c r="F177" s="13" t="s">
        <v>414</v>
      </c>
      <c r="G177" s="13" t="s">
        <v>1332</v>
      </c>
      <c r="H177" s="13" t="s">
        <v>696</v>
      </c>
      <c r="I177" s="13" t="s">
        <v>1333</v>
      </c>
      <c r="J177" s="13" t="s">
        <v>1334</v>
      </c>
      <c r="K177" s="13" t="s">
        <v>1335</v>
      </c>
      <c r="L177" s="13" t="s">
        <v>1336</v>
      </c>
      <c r="M177" s="13" t="s">
        <v>49</v>
      </c>
      <c r="N177" s="13" t="s">
        <v>176</v>
      </c>
      <c r="O177" s="13" t="s">
        <v>219</v>
      </c>
      <c r="P177" s="13" t="s">
        <v>178</v>
      </c>
      <c r="Q177" s="13" t="s">
        <v>188</v>
      </c>
      <c r="R177" s="13"/>
      <c r="S177" s="13" t="s">
        <v>384</v>
      </c>
      <c r="T177" s="13" t="s">
        <v>1171</v>
      </c>
    </row>
    <row r="178" spans="1:20" ht="135.75" customHeight="1" x14ac:dyDescent="0.3">
      <c r="A178" s="13" t="s">
        <v>1337</v>
      </c>
      <c r="B178" s="13" t="s">
        <v>133</v>
      </c>
      <c r="C178" s="13" t="s">
        <v>127</v>
      </c>
      <c r="D178" s="13" t="s">
        <v>1338</v>
      </c>
      <c r="E178" s="13" t="s">
        <v>58</v>
      </c>
      <c r="F178" s="13" t="s">
        <v>624</v>
      </c>
      <c r="G178" s="13" t="s">
        <v>1339</v>
      </c>
      <c r="H178" s="13" t="s">
        <v>696</v>
      </c>
      <c r="I178" s="13" t="s">
        <v>1340</v>
      </c>
      <c r="J178" s="13" t="s">
        <v>1341</v>
      </c>
      <c r="K178" s="13" t="s">
        <v>1342</v>
      </c>
      <c r="L178" s="13" t="s">
        <v>1343</v>
      </c>
      <c r="M178" s="13" t="s">
        <v>49</v>
      </c>
      <c r="N178" s="13" t="s">
        <v>176</v>
      </c>
      <c r="O178" s="13" t="s">
        <v>177</v>
      </c>
      <c r="P178" s="13" t="s">
        <v>178</v>
      </c>
      <c r="Q178" s="13" t="s">
        <v>188</v>
      </c>
      <c r="R178" s="13"/>
      <c r="S178" s="13" t="s">
        <v>334</v>
      </c>
      <c r="T178" s="13" t="s">
        <v>1171</v>
      </c>
    </row>
    <row r="179" spans="1:20" ht="108.75" customHeight="1" x14ac:dyDescent="0.3">
      <c r="A179" s="13" t="s">
        <v>1344</v>
      </c>
      <c r="B179" s="13" t="s">
        <v>133</v>
      </c>
      <c r="C179" s="13" t="s">
        <v>127</v>
      </c>
      <c r="D179" s="13" t="s">
        <v>1345</v>
      </c>
      <c r="E179" s="13" t="s">
        <v>237</v>
      </c>
      <c r="F179" s="13" t="s">
        <v>250</v>
      </c>
      <c r="G179" s="13" t="s">
        <v>330</v>
      </c>
      <c r="H179" s="13" t="s">
        <v>696</v>
      </c>
      <c r="I179" s="13" t="s">
        <v>1346</v>
      </c>
      <c r="J179" s="13" t="s">
        <v>1347</v>
      </c>
      <c r="K179" s="13" t="s">
        <v>1348</v>
      </c>
      <c r="L179" s="13" t="s">
        <v>1349</v>
      </c>
      <c r="M179" s="13" t="s">
        <v>49</v>
      </c>
      <c r="N179" s="13" t="s">
        <v>176</v>
      </c>
      <c r="O179" s="13" t="s">
        <v>195</v>
      </c>
      <c r="P179" s="13" t="s">
        <v>178</v>
      </c>
      <c r="Q179" s="13" t="s">
        <v>188</v>
      </c>
      <c r="R179" s="13"/>
      <c r="S179" s="13" t="s">
        <v>361</v>
      </c>
      <c r="T179" s="13" t="s">
        <v>1171</v>
      </c>
    </row>
    <row r="180" spans="1:20" ht="135.75" customHeight="1" x14ac:dyDescent="0.3">
      <c r="A180" s="13" t="s">
        <v>1350</v>
      </c>
      <c r="B180" s="13" t="s">
        <v>136</v>
      </c>
      <c r="C180" s="13" t="s">
        <v>127</v>
      </c>
      <c r="D180" s="13" t="s">
        <v>1351</v>
      </c>
      <c r="E180" s="13" t="s">
        <v>58</v>
      </c>
      <c r="F180" s="13" t="s">
        <v>364</v>
      </c>
      <c r="G180" s="13" t="s">
        <v>1352</v>
      </c>
      <c r="H180" s="13" t="s">
        <v>696</v>
      </c>
      <c r="I180" s="13" t="s">
        <v>1353</v>
      </c>
      <c r="J180" s="13" t="s">
        <v>1354</v>
      </c>
      <c r="K180" s="13" t="s">
        <v>1355</v>
      </c>
      <c r="L180" s="13" t="s">
        <v>1356</v>
      </c>
      <c r="M180" s="13" t="s">
        <v>49</v>
      </c>
      <c r="N180" s="13" t="s">
        <v>176</v>
      </c>
      <c r="O180" s="13" t="s">
        <v>177</v>
      </c>
      <c r="P180" s="13" t="s">
        <v>178</v>
      </c>
      <c r="Q180" s="13" t="s">
        <v>188</v>
      </c>
      <c r="R180" s="13"/>
      <c r="S180" s="13" t="s">
        <v>1357</v>
      </c>
      <c r="T180" s="13" t="s">
        <v>1171</v>
      </c>
    </row>
    <row r="181" spans="1:20" ht="135.75" customHeight="1" x14ac:dyDescent="0.3">
      <c r="A181" s="13" t="s">
        <v>1358</v>
      </c>
      <c r="B181" s="13" t="s">
        <v>136</v>
      </c>
      <c r="C181" s="13" t="s">
        <v>127</v>
      </c>
      <c r="D181" s="13" t="s">
        <v>1359</v>
      </c>
      <c r="E181" s="13" t="s">
        <v>58</v>
      </c>
      <c r="F181" s="13" t="s">
        <v>624</v>
      </c>
      <c r="G181" s="13" t="s">
        <v>1360</v>
      </c>
      <c r="H181" s="13" t="s">
        <v>696</v>
      </c>
      <c r="I181" s="13" t="s">
        <v>1361</v>
      </c>
      <c r="J181" s="13" t="s">
        <v>1362</v>
      </c>
      <c r="K181" s="13" t="s">
        <v>1363</v>
      </c>
      <c r="L181" s="13" t="s">
        <v>1364</v>
      </c>
      <c r="M181" s="13" t="s">
        <v>49</v>
      </c>
      <c r="N181" s="13" t="s">
        <v>176</v>
      </c>
      <c r="O181" s="13" t="s">
        <v>177</v>
      </c>
      <c r="P181" s="13" t="s">
        <v>178</v>
      </c>
      <c r="Q181" s="13" t="s">
        <v>188</v>
      </c>
      <c r="R181" s="13"/>
      <c r="S181" s="13" t="s">
        <v>334</v>
      </c>
      <c r="T181" s="13" t="s">
        <v>1171</v>
      </c>
    </row>
    <row r="182" spans="1:20" ht="175.5" customHeight="1" x14ac:dyDescent="0.3">
      <c r="A182" s="13" t="s">
        <v>1365</v>
      </c>
      <c r="B182" s="13" t="s">
        <v>136</v>
      </c>
      <c r="C182" s="13" t="s">
        <v>127</v>
      </c>
      <c r="D182" s="13" t="s">
        <v>1366</v>
      </c>
      <c r="E182" s="14" t="s">
        <v>54</v>
      </c>
      <c r="F182" s="13" t="s">
        <v>356</v>
      </c>
      <c r="G182" s="13" t="s">
        <v>1367</v>
      </c>
      <c r="H182" s="13" t="s">
        <v>696</v>
      </c>
      <c r="I182" s="13" t="s">
        <v>1368</v>
      </c>
      <c r="J182" s="13" t="s">
        <v>1369</v>
      </c>
      <c r="K182" s="13" t="s">
        <v>1370</v>
      </c>
      <c r="L182" s="13" t="s">
        <v>1371</v>
      </c>
      <c r="M182" s="13" t="s">
        <v>49</v>
      </c>
      <c r="N182" s="13" t="s">
        <v>176</v>
      </c>
      <c r="O182" s="13" t="s">
        <v>177</v>
      </c>
      <c r="P182" s="13" t="s">
        <v>178</v>
      </c>
      <c r="Q182" s="13" t="s">
        <v>188</v>
      </c>
      <c r="R182" s="13"/>
      <c r="S182" s="13" t="s">
        <v>334</v>
      </c>
      <c r="T182" s="13" t="s">
        <v>1171</v>
      </c>
    </row>
    <row r="183" spans="1:20" ht="95.25" customHeight="1" x14ac:dyDescent="0.3">
      <c r="A183" s="13" t="s">
        <v>1372</v>
      </c>
      <c r="B183" s="13" t="s">
        <v>136</v>
      </c>
      <c r="C183" s="13" t="s">
        <v>127</v>
      </c>
      <c r="D183" s="13" t="s">
        <v>1373</v>
      </c>
      <c r="E183" s="14" t="s">
        <v>54</v>
      </c>
      <c r="F183" s="13" t="s">
        <v>321</v>
      </c>
      <c r="G183" s="13" t="s">
        <v>322</v>
      </c>
      <c r="H183" s="13" t="s">
        <v>696</v>
      </c>
      <c r="I183" s="13" t="s">
        <v>1374</v>
      </c>
      <c r="J183" s="13" t="s">
        <v>1375</v>
      </c>
      <c r="K183" s="13" t="s">
        <v>893</v>
      </c>
      <c r="L183" s="13" t="s">
        <v>894</v>
      </c>
      <c r="M183" s="13" t="s">
        <v>49</v>
      </c>
      <c r="N183" s="13" t="s">
        <v>176</v>
      </c>
      <c r="O183" s="13" t="s">
        <v>177</v>
      </c>
      <c r="P183" s="13" t="s">
        <v>178</v>
      </c>
      <c r="Q183" s="13" t="s">
        <v>178</v>
      </c>
      <c r="R183" s="13"/>
      <c r="S183" s="13" t="s">
        <v>334</v>
      </c>
      <c r="T183" s="13" t="s">
        <v>1171</v>
      </c>
    </row>
    <row r="184" spans="1:20" ht="95.25" customHeight="1" x14ac:dyDescent="0.3">
      <c r="A184" s="13" t="s">
        <v>1376</v>
      </c>
      <c r="B184" s="13" t="s">
        <v>136</v>
      </c>
      <c r="C184" s="13" t="s">
        <v>127</v>
      </c>
      <c r="D184" s="13" t="s">
        <v>1377</v>
      </c>
      <c r="E184" s="13" t="s">
        <v>355</v>
      </c>
      <c r="F184" s="13" t="s">
        <v>356</v>
      </c>
      <c r="G184" s="13" t="s">
        <v>1378</v>
      </c>
      <c r="H184" s="13" t="s">
        <v>696</v>
      </c>
      <c r="I184" s="13" t="s">
        <v>1379</v>
      </c>
      <c r="J184" s="13" t="s">
        <v>1380</v>
      </c>
      <c r="K184" s="13" t="s">
        <v>1381</v>
      </c>
      <c r="L184" s="13" t="s">
        <v>1382</v>
      </c>
      <c r="M184" s="13" t="s">
        <v>49</v>
      </c>
      <c r="N184" s="13" t="s">
        <v>176</v>
      </c>
      <c r="O184" s="13" t="s">
        <v>177</v>
      </c>
      <c r="P184" s="13" t="s">
        <v>178</v>
      </c>
      <c r="Q184" s="13" t="s">
        <v>188</v>
      </c>
      <c r="R184" s="13"/>
      <c r="S184" s="13" t="s">
        <v>1000</v>
      </c>
      <c r="T184" s="13" t="s">
        <v>1171</v>
      </c>
    </row>
    <row r="185" spans="1:20" ht="95.25" customHeight="1" x14ac:dyDescent="0.3">
      <c r="A185" s="13" t="s">
        <v>1383</v>
      </c>
      <c r="B185" s="13" t="s">
        <v>136</v>
      </c>
      <c r="C185" s="13" t="s">
        <v>127</v>
      </c>
      <c r="D185" s="13" t="s">
        <v>1384</v>
      </c>
      <c r="E185" s="13" t="s">
        <v>355</v>
      </c>
      <c r="F185" s="13" t="s">
        <v>995</v>
      </c>
      <c r="G185" s="13" t="s">
        <v>1385</v>
      </c>
      <c r="H185" s="13" t="s">
        <v>696</v>
      </c>
      <c r="I185" s="13" t="s">
        <v>1386</v>
      </c>
      <c r="J185" s="13" t="s">
        <v>1387</v>
      </c>
      <c r="K185" s="13" t="s">
        <v>1388</v>
      </c>
      <c r="L185" s="13" t="s">
        <v>1389</v>
      </c>
      <c r="M185" s="13" t="s">
        <v>49</v>
      </c>
      <c r="N185" s="13" t="s">
        <v>176</v>
      </c>
      <c r="O185" s="13" t="s">
        <v>177</v>
      </c>
      <c r="P185" s="13" t="s">
        <v>178</v>
      </c>
      <c r="Q185" s="13" t="s">
        <v>188</v>
      </c>
      <c r="R185" s="13"/>
      <c r="S185" s="13" t="s">
        <v>1000</v>
      </c>
      <c r="T185" s="13" t="s">
        <v>1171</v>
      </c>
    </row>
    <row r="186" spans="1:20" ht="135.75" customHeight="1" x14ac:dyDescent="0.3">
      <c r="A186" s="13" t="s">
        <v>1390</v>
      </c>
      <c r="B186" s="13" t="s">
        <v>136</v>
      </c>
      <c r="C186" s="13" t="s">
        <v>127</v>
      </c>
      <c r="D186" s="13" t="s">
        <v>1391</v>
      </c>
      <c r="E186" s="13" t="s">
        <v>355</v>
      </c>
      <c r="F186" s="13" t="s">
        <v>341</v>
      </c>
      <c r="G186" s="13" t="s">
        <v>342</v>
      </c>
      <c r="H186" s="13" t="s">
        <v>696</v>
      </c>
      <c r="I186" s="13" t="s">
        <v>1392</v>
      </c>
      <c r="J186" s="13" t="s">
        <v>1393</v>
      </c>
      <c r="K186" s="13" t="s">
        <v>1394</v>
      </c>
      <c r="L186" s="13" t="s">
        <v>1395</v>
      </c>
      <c r="M186" s="13" t="s">
        <v>49</v>
      </c>
      <c r="N186" s="13" t="s">
        <v>176</v>
      </c>
      <c r="O186" s="13" t="s">
        <v>177</v>
      </c>
      <c r="P186" s="13" t="s">
        <v>178</v>
      </c>
      <c r="Q186" s="13" t="s">
        <v>188</v>
      </c>
      <c r="R186" s="13"/>
      <c r="S186" s="13" t="s">
        <v>1000</v>
      </c>
      <c r="T186" s="13" t="s">
        <v>1171</v>
      </c>
    </row>
    <row r="187" spans="1:20" ht="162" customHeight="1" x14ac:dyDescent="0.3">
      <c r="A187" s="13" t="s">
        <v>1396</v>
      </c>
      <c r="B187" s="13" t="s">
        <v>136</v>
      </c>
      <c r="C187" s="13" t="s">
        <v>127</v>
      </c>
      <c r="D187" s="13" t="s">
        <v>1397</v>
      </c>
      <c r="E187" s="13" t="s">
        <v>355</v>
      </c>
      <c r="F187" s="13" t="s">
        <v>341</v>
      </c>
      <c r="G187" s="13" t="s">
        <v>342</v>
      </c>
      <c r="H187" s="13" t="s">
        <v>696</v>
      </c>
      <c r="I187" s="13" t="s">
        <v>1398</v>
      </c>
      <c r="J187" s="13" t="s">
        <v>1399</v>
      </c>
      <c r="K187" s="13" t="s">
        <v>1400</v>
      </c>
      <c r="L187" s="13" t="s">
        <v>1401</v>
      </c>
      <c r="M187" s="13" t="s">
        <v>49</v>
      </c>
      <c r="N187" s="13" t="s">
        <v>176</v>
      </c>
      <c r="O187" s="13" t="s">
        <v>177</v>
      </c>
      <c r="P187" s="13" t="s">
        <v>178</v>
      </c>
      <c r="Q187" s="13" t="s">
        <v>188</v>
      </c>
      <c r="R187" s="13"/>
      <c r="S187" s="13" t="s">
        <v>1402</v>
      </c>
      <c r="T187" s="13" t="s">
        <v>1171</v>
      </c>
    </row>
    <row r="188" spans="1:20" ht="135.75" customHeight="1" x14ac:dyDescent="0.3">
      <c r="A188" s="13" t="s">
        <v>1403</v>
      </c>
      <c r="B188" s="13" t="s">
        <v>139</v>
      </c>
      <c r="C188" s="13" t="s">
        <v>127</v>
      </c>
      <c r="D188" s="13" t="s">
        <v>1404</v>
      </c>
      <c r="E188" s="13" t="s">
        <v>58</v>
      </c>
      <c r="F188" s="13" t="s">
        <v>1405</v>
      </c>
      <c r="G188" s="13" t="s">
        <v>1406</v>
      </c>
      <c r="H188" s="13" t="s">
        <v>696</v>
      </c>
      <c r="I188" s="13" t="s">
        <v>1407</v>
      </c>
      <c r="J188" s="13" t="s">
        <v>1408</v>
      </c>
      <c r="K188" s="13" t="s">
        <v>1409</v>
      </c>
      <c r="L188" s="13" t="s">
        <v>1410</v>
      </c>
      <c r="M188" s="13" t="s">
        <v>49</v>
      </c>
      <c r="N188" s="13" t="s">
        <v>176</v>
      </c>
      <c r="O188" s="13" t="s">
        <v>219</v>
      </c>
      <c r="P188" s="13" t="s">
        <v>178</v>
      </c>
      <c r="Q188" s="13" t="s">
        <v>188</v>
      </c>
      <c r="R188" s="13"/>
      <c r="S188" s="13" t="s">
        <v>1411</v>
      </c>
      <c r="T188" s="13" t="s">
        <v>1171</v>
      </c>
    </row>
    <row r="189" spans="1:20" ht="149.25" customHeight="1" x14ac:dyDescent="0.3">
      <c r="A189" s="13" t="s">
        <v>1412</v>
      </c>
      <c r="B189" s="13" t="s">
        <v>139</v>
      </c>
      <c r="C189" s="13" t="s">
        <v>127</v>
      </c>
      <c r="D189" s="13" t="s">
        <v>1413</v>
      </c>
      <c r="E189" s="14" t="s">
        <v>54</v>
      </c>
      <c r="F189" s="13" t="s">
        <v>1405</v>
      </c>
      <c r="G189" s="13" t="s">
        <v>1414</v>
      </c>
      <c r="H189" s="13" t="s">
        <v>696</v>
      </c>
      <c r="I189" s="13" t="s">
        <v>1415</v>
      </c>
      <c r="J189" s="13" t="s">
        <v>1416</v>
      </c>
      <c r="K189" s="13" t="s">
        <v>1417</v>
      </c>
      <c r="L189" s="13" t="s">
        <v>1418</v>
      </c>
      <c r="M189" s="13" t="s">
        <v>49</v>
      </c>
      <c r="N189" s="13" t="s">
        <v>176</v>
      </c>
      <c r="O189" s="13" t="s">
        <v>219</v>
      </c>
      <c r="P189" s="13" t="s">
        <v>178</v>
      </c>
      <c r="Q189" s="13" t="s">
        <v>188</v>
      </c>
      <c r="R189" s="13" t="s">
        <v>1110</v>
      </c>
      <c r="S189" s="13" t="s">
        <v>1411</v>
      </c>
      <c r="T189" s="13" t="s">
        <v>1171</v>
      </c>
    </row>
    <row r="190" spans="1:20" ht="189" customHeight="1" x14ac:dyDescent="0.3">
      <c r="A190" s="13" t="s">
        <v>1419</v>
      </c>
      <c r="B190" s="13" t="s">
        <v>139</v>
      </c>
      <c r="C190" s="13" t="s">
        <v>127</v>
      </c>
      <c r="D190" s="13" t="s">
        <v>1420</v>
      </c>
      <c r="E190" s="14" t="s">
        <v>54</v>
      </c>
      <c r="F190" s="13" t="s">
        <v>1405</v>
      </c>
      <c r="G190" s="13" t="s">
        <v>1421</v>
      </c>
      <c r="H190" s="13" t="s">
        <v>696</v>
      </c>
      <c r="I190" s="13" t="s">
        <v>1422</v>
      </c>
      <c r="J190" s="13" t="s">
        <v>1423</v>
      </c>
      <c r="K190" s="13" t="s">
        <v>1424</v>
      </c>
      <c r="L190" s="13" t="s">
        <v>1425</v>
      </c>
      <c r="M190" s="13" t="s">
        <v>49</v>
      </c>
      <c r="N190" s="13" t="s">
        <v>176</v>
      </c>
      <c r="O190" s="13" t="s">
        <v>219</v>
      </c>
      <c r="P190" s="13" t="s">
        <v>178</v>
      </c>
      <c r="Q190" s="13" t="s">
        <v>188</v>
      </c>
      <c r="R190" s="13"/>
      <c r="S190" s="13" t="s">
        <v>1426</v>
      </c>
      <c r="T190" s="13" t="s">
        <v>1171</v>
      </c>
    </row>
    <row r="191" spans="1:20" ht="189" customHeight="1" x14ac:dyDescent="0.3">
      <c r="A191" s="13" t="s">
        <v>1427</v>
      </c>
      <c r="B191" s="13" t="s">
        <v>139</v>
      </c>
      <c r="C191" s="13" t="s">
        <v>127</v>
      </c>
      <c r="D191" s="13" t="s">
        <v>1428</v>
      </c>
      <c r="E191" s="13" t="s">
        <v>58</v>
      </c>
      <c r="F191" s="13" t="s">
        <v>1405</v>
      </c>
      <c r="G191" s="13" t="s">
        <v>1429</v>
      </c>
      <c r="H191" s="13" t="s">
        <v>696</v>
      </c>
      <c r="I191" s="13" t="s">
        <v>1430</v>
      </c>
      <c r="J191" s="13" t="s">
        <v>1431</v>
      </c>
      <c r="K191" s="13" t="s">
        <v>1432</v>
      </c>
      <c r="L191" s="13" t="s">
        <v>1433</v>
      </c>
      <c r="M191" s="13" t="s">
        <v>49</v>
      </c>
      <c r="N191" s="13" t="s">
        <v>176</v>
      </c>
      <c r="O191" s="13" t="s">
        <v>219</v>
      </c>
      <c r="P191" s="13" t="s">
        <v>178</v>
      </c>
      <c r="Q191" s="13" t="s">
        <v>188</v>
      </c>
      <c r="R191" s="13"/>
      <c r="S191" s="13" t="s">
        <v>1426</v>
      </c>
      <c r="T191" s="13" t="s">
        <v>1171</v>
      </c>
    </row>
    <row r="192" spans="1:20" ht="189" customHeight="1" x14ac:dyDescent="0.3">
      <c r="A192" s="13" t="s">
        <v>1434</v>
      </c>
      <c r="B192" s="13" t="s">
        <v>139</v>
      </c>
      <c r="C192" s="13" t="s">
        <v>127</v>
      </c>
      <c r="D192" s="13" t="s">
        <v>1435</v>
      </c>
      <c r="E192" s="13" t="s">
        <v>58</v>
      </c>
      <c r="F192" s="13" t="s">
        <v>1436</v>
      </c>
      <c r="G192" s="13" t="s">
        <v>1437</v>
      </c>
      <c r="H192" s="13" t="s">
        <v>696</v>
      </c>
      <c r="I192" s="13" t="s">
        <v>1438</v>
      </c>
      <c r="J192" s="13" t="s">
        <v>1439</v>
      </c>
      <c r="K192" s="13" t="s">
        <v>1440</v>
      </c>
      <c r="L192" s="13" t="s">
        <v>1441</v>
      </c>
      <c r="M192" s="13" t="s">
        <v>49</v>
      </c>
      <c r="N192" s="13" t="s">
        <v>176</v>
      </c>
      <c r="O192" s="13" t="s">
        <v>177</v>
      </c>
      <c r="P192" s="13" t="s">
        <v>178</v>
      </c>
      <c r="Q192" s="13" t="s">
        <v>188</v>
      </c>
      <c r="R192" s="13"/>
      <c r="S192" s="13" t="s">
        <v>1442</v>
      </c>
      <c r="T192" s="13" t="s">
        <v>1171</v>
      </c>
    </row>
    <row r="193" spans="1:20" ht="162" customHeight="1" x14ac:dyDescent="0.3">
      <c r="A193" s="13" t="s">
        <v>1443</v>
      </c>
      <c r="B193" s="13" t="s">
        <v>139</v>
      </c>
      <c r="C193" s="13" t="s">
        <v>127</v>
      </c>
      <c r="D193" s="13" t="s">
        <v>1444</v>
      </c>
      <c r="E193" s="14" t="s">
        <v>54</v>
      </c>
      <c r="F193" s="13" t="s">
        <v>1445</v>
      </c>
      <c r="G193" s="13" t="s">
        <v>837</v>
      </c>
      <c r="H193" s="13" t="s">
        <v>696</v>
      </c>
      <c r="I193" s="13" t="s">
        <v>1446</v>
      </c>
      <c r="J193" s="13" t="s">
        <v>1447</v>
      </c>
      <c r="K193" s="13" t="s">
        <v>1448</v>
      </c>
      <c r="L193" s="13" t="s">
        <v>1449</v>
      </c>
      <c r="M193" s="13" t="s">
        <v>49</v>
      </c>
      <c r="N193" s="13" t="s">
        <v>176</v>
      </c>
      <c r="O193" s="13" t="s">
        <v>219</v>
      </c>
      <c r="P193" s="13" t="s">
        <v>178</v>
      </c>
      <c r="Q193" s="13" t="s">
        <v>188</v>
      </c>
      <c r="R193" s="13"/>
      <c r="S193" s="13" t="s">
        <v>1450</v>
      </c>
      <c r="T193" s="13" t="s">
        <v>1171</v>
      </c>
    </row>
    <row r="194" spans="1:20" ht="162" customHeight="1" x14ac:dyDescent="0.3">
      <c r="A194" s="13" t="s">
        <v>1451</v>
      </c>
      <c r="B194" s="13" t="s">
        <v>139</v>
      </c>
      <c r="C194" s="13" t="s">
        <v>127</v>
      </c>
      <c r="D194" s="13" t="s">
        <v>1452</v>
      </c>
      <c r="E194" s="14" t="s">
        <v>54</v>
      </c>
      <c r="F194" s="13" t="s">
        <v>1445</v>
      </c>
      <c r="G194" s="13" t="s">
        <v>830</v>
      </c>
      <c r="H194" s="13" t="s">
        <v>696</v>
      </c>
      <c r="I194" s="13" t="s">
        <v>1453</v>
      </c>
      <c r="J194" s="13" t="s">
        <v>1454</v>
      </c>
      <c r="K194" s="13" t="s">
        <v>1455</v>
      </c>
      <c r="L194" s="13" t="s">
        <v>1456</v>
      </c>
      <c r="M194" s="13" t="s">
        <v>49</v>
      </c>
      <c r="N194" s="13" t="s">
        <v>176</v>
      </c>
      <c r="O194" s="13" t="s">
        <v>219</v>
      </c>
      <c r="P194" s="13" t="s">
        <v>178</v>
      </c>
      <c r="Q194" s="13" t="s">
        <v>188</v>
      </c>
      <c r="R194" s="13"/>
      <c r="S194" s="13" t="s">
        <v>1450</v>
      </c>
      <c r="T194" s="13" t="s">
        <v>1171</v>
      </c>
    </row>
    <row r="195" spans="1:20" ht="135.75" customHeight="1" x14ac:dyDescent="0.3">
      <c r="A195" s="13" t="s">
        <v>1457</v>
      </c>
      <c r="B195" s="13" t="s">
        <v>139</v>
      </c>
      <c r="C195" s="13" t="s">
        <v>127</v>
      </c>
      <c r="D195" s="13" t="s">
        <v>1458</v>
      </c>
      <c r="E195" s="13" t="s">
        <v>58</v>
      </c>
      <c r="F195" s="13" t="s">
        <v>1459</v>
      </c>
      <c r="G195" s="13" t="s">
        <v>1437</v>
      </c>
      <c r="H195" s="13" t="s">
        <v>696</v>
      </c>
      <c r="I195" s="13" t="s">
        <v>1460</v>
      </c>
      <c r="J195" s="13" t="s">
        <v>1461</v>
      </c>
      <c r="K195" s="13" t="s">
        <v>1462</v>
      </c>
      <c r="L195" s="13" t="s">
        <v>1463</v>
      </c>
      <c r="M195" s="13" t="s">
        <v>49</v>
      </c>
      <c r="N195" s="13" t="s">
        <v>176</v>
      </c>
      <c r="O195" s="13" t="s">
        <v>177</v>
      </c>
      <c r="P195" s="13" t="s">
        <v>178</v>
      </c>
      <c r="Q195" s="13" t="s">
        <v>188</v>
      </c>
      <c r="R195" s="13"/>
      <c r="S195" s="13" t="s">
        <v>1464</v>
      </c>
      <c r="T195" s="13" t="s">
        <v>1171</v>
      </c>
    </row>
    <row r="196" spans="1:20" ht="149.25" customHeight="1" x14ac:dyDescent="0.3">
      <c r="A196" s="13" t="s">
        <v>1465</v>
      </c>
      <c r="B196" s="13" t="s">
        <v>139</v>
      </c>
      <c r="C196" s="13" t="s">
        <v>127</v>
      </c>
      <c r="D196" s="13" t="s">
        <v>1466</v>
      </c>
      <c r="E196" s="13" t="s">
        <v>237</v>
      </c>
      <c r="F196" s="13" t="s">
        <v>1436</v>
      </c>
      <c r="G196" s="13" t="s">
        <v>342</v>
      </c>
      <c r="H196" s="13" t="s">
        <v>696</v>
      </c>
      <c r="I196" s="13" t="s">
        <v>1467</v>
      </c>
      <c r="J196" s="13" t="s">
        <v>1468</v>
      </c>
      <c r="K196" s="13" t="s">
        <v>1469</v>
      </c>
      <c r="L196" s="13" t="s">
        <v>1470</v>
      </c>
      <c r="M196" s="13" t="s">
        <v>49</v>
      </c>
      <c r="N196" s="13" t="s">
        <v>176</v>
      </c>
      <c r="O196" s="13" t="s">
        <v>177</v>
      </c>
      <c r="P196" s="13" t="s">
        <v>178</v>
      </c>
      <c r="Q196" s="13" t="s">
        <v>188</v>
      </c>
      <c r="R196" s="13" t="s">
        <v>1110</v>
      </c>
      <c r="S196" s="13" t="s">
        <v>1471</v>
      </c>
      <c r="T196" s="13" t="s">
        <v>1171</v>
      </c>
    </row>
    <row r="197" spans="1:20" ht="95.25" customHeight="1" x14ac:dyDescent="0.3">
      <c r="A197" s="13" t="s">
        <v>1472</v>
      </c>
      <c r="B197" s="13" t="s">
        <v>142</v>
      </c>
      <c r="C197" s="13" t="s">
        <v>143</v>
      </c>
      <c r="D197" s="13" t="s">
        <v>1473</v>
      </c>
      <c r="E197" s="14" t="s">
        <v>54</v>
      </c>
      <c r="F197" s="13" t="s">
        <v>169</v>
      </c>
      <c r="G197" s="13" t="s">
        <v>1474</v>
      </c>
      <c r="H197" s="13" t="s">
        <v>1475</v>
      </c>
      <c r="I197" s="13" t="s">
        <v>1476</v>
      </c>
      <c r="J197" s="13" t="s">
        <v>1477</v>
      </c>
      <c r="K197" s="13" t="s">
        <v>1478</v>
      </c>
      <c r="L197" s="13" t="s">
        <v>1479</v>
      </c>
      <c r="M197" s="13" t="s">
        <v>49</v>
      </c>
      <c r="N197" s="13" t="s">
        <v>176</v>
      </c>
      <c r="O197" s="13" t="s">
        <v>177</v>
      </c>
      <c r="P197" s="13" t="s">
        <v>178</v>
      </c>
      <c r="Q197" s="13" t="s">
        <v>178</v>
      </c>
      <c r="R197" s="13"/>
      <c r="S197" s="13" t="s">
        <v>1480</v>
      </c>
      <c r="T197" s="13" t="s">
        <v>1481</v>
      </c>
    </row>
    <row r="198" spans="1:20" ht="95.25" customHeight="1" x14ac:dyDescent="0.3">
      <c r="A198" s="13" t="s">
        <v>1482</v>
      </c>
      <c r="B198" s="13" t="s">
        <v>142</v>
      </c>
      <c r="C198" s="13" t="s">
        <v>143</v>
      </c>
      <c r="D198" s="13" t="s">
        <v>1483</v>
      </c>
      <c r="E198" s="14" t="s">
        <v>54</v>
      </c>
      <c r="F198" s="13" t="s">
        <v>169</v>
      </c>
      <c r="G198" s="13" t="s">
        <v>1484</v>
      </c>
      <c r="H198" s="13" t="s">
        <v>1475</v>
      </c>
      <c r="I198" s="13" t="s">
        <v>1485</v>
      </c>
      <c r="J198" s="13" t="s">
        <v>1486</v>
      </c>
      <c r="K198" s="13" t="s">
        <v>1487</v>
      </c>
      <c r="L198" s="13" t="s">
        <v>1488</v>
      </c>
      <c r="M198" s="13" t="s">
        <v>49</v>
      </c>
      <c r="N198" s="13" t="s">
        <v>176</v>
      </c>
      <c r="O198" s="13" t="s">
        <v>177</v>
      </c>
      <c r="P198" s="13" t="s">
        <v>178</v>
      </c>
      <c r="Q198" s="13" t="s">
        <v>188</v>
      </c>
      <c r="R198" s="13"/>
      <c r="S198" s="13" t="s">
        <v>189</v>
      </c>
      <c r="T198" s="13" t="s">
        <v>1481</v>
      </c>
    </row>
    <row r="199" spans="1:20" ht="95.25" customHeight="1" x14ac:dyDescent="0.3">
      <c r="A199" s="13" t="s">
        <v>1489</v>
      </c>
      <c r="B199" s="13" t="s">
        <v>142</v>
      </c>
      <c r="C199" s="13" t="s">
        <v>143</v>
      </c>
      <c r="D199" s="13" t="s">
        <v>1490</v>
      </c>
      <c r="E199" s="13" t="s">
        <v>58</v>
      </c>
      <c r="F199" s="13" t="s">
        <v>169</v>
      </c>
      <c r="G199" s="13" t="s">
        <v>1491</v>
      </c>
      <c r="H199" s="13" t="s">
        <v>1475</v>
      </c>
      <c r="I199" s="13" t="s">
        <v>1492</v>
      </c>
      <c r="J199" s="13" t="s">
        <v>1493</v>
      </c>
      <c r="K199" s="13" t="s">
        <v>1494</v>
      </c>
      <c r="L199" s="13" t="s">
        <v>1495</v>
      </c>
      <c r="M199" s="13" t="s">
        <v>49</v>
      </c>
      <c r="N199" s="13" t="s">
        <v>176</v>
      </c>
      <c r="O199" s="13" t="s">
        <v>177</v>
      </c>
      <c r="P199" s="13" t="s">
        <v>178</v>
      </c>
      <c r="Q199" s="13" t="s">
        <v>188</v>
      </c>
      <c r="R199" s="13"/>
      <c r="S199" s="13" t="s">
        <v>1496</v>
      </c>
      <c r="T199" s="13" t="s">
        <v>1481</v>
      </c>
    </row>
    <row r="200" spans="1:20" ht="95.25" customHeight="1" x14ac:dyDescent="0.3">
      <c r="A200" s="13" t="s">
        <v>1497</v>
      </c>
      <c r="B200" s="13" t="s">
        <v>142</v>
      </c>
      <c r="C200" s="13" t="s">
        <v>143</v>
      </c>
      <c r="D200" s="13" t="s">
        <v>1498</v>
      </c>
      <c r="E200" s="13" t="s">
        <v>237</v>
      </c>
      <c r="F200" s="13" t="s">
        <v>214</v>
      </c>
      <c r="G200" s="13" t="s">
        <v>1499</v>
      </c>
      <c r="H200" s="13" t="s">
        <v>1475</v>
      </c>
      <c r="I200" s="13" t="s">
        <v>1500</v>
      </c>
      <c r="J200" s="13" t="s">
        <v>1501</v>
      </c>
      <c r="K200" s="13" t="s">
        <v>1502</v>
      </c>
      <c r="L200" s="13" t="s">
        <v>1503</v>
      </c>
      <c r="M200" s="13" t="s">
        <v>49</v>
      </c>
      <c r="N200" s="13" t="s">
        <v>176</v>
      </c>
      <c r="O200" s="13" t="s">
        <v>219</v>
      </c>
      <c r="P200" s="13" t="s">
        <v>178</v>
      </c>
      <c r="Q200" s="13" t="s">
        <v>188</v>
      </c>
      <c r="R200" s="13"/>
      <c r="S200" s="13" t="s">
        <v>318</v>
      </c>
      <c r="T200" s="13" t="s">
        <v>1481</v>
      </c>
    </row>
    <row r="201" spans="1:20" ht="95.25" customHeight="1" x14ac:dyDescent="0.3">
      <c r="A201" s="13" t="s">
        <v>1504</v>
      </c>
      <c r="B201" s="13" t="s">
        <v>142</v>
      </c>
      <c r="C201" s="13" t="s">
        <v>143</v>
      </c>
      <c r="D201" s="13" t="s">
        <v>1505</v>
      </c>
      <c r="E201" s="13" t="s">
        <v>58</v>
      </c>
      <c r="F201" s="13" t="s">
        <v>214</v>
      </c>
      <c r="G201" s="13" t="s">
        <v>1506</v>
      </c>
      <c r="H201" s="13" t="s">
        <v>1475</v>
      </c>
      <c r="I201" s="13" t="s">
        <v>1507</v>
      </c>
      <c r="J201" s="13" t="s">
        <v>1508</v>
      </c>
      <c r="K201" s="13" t="s">
        <v>1509</v>
      </c>
      <c r="L201" s="13" t="s">
        <v>1510</v>
      </c>
      <c r="M201" s="13" t="s">
        <v>49</v>
      </c>
      <c r="N201" s="13" t="s">
        <v>176</v>
      </c>
      <c r="O201" s="13" t="s">
        <v>219</v>
      </c>
      <c r="P201" s="13" t="s">
        <v>178</v>
      </c>
      <c r="Q201" s="13" t="s">
        <v>188</v>
      </c>
      <c r="R201" s="13"/>
      <c r="S201" s="13" t="s">
        <v>1511</v>
      </c>
      <c r="T201" s="13" t="s">
        <v>1481</v>
      </c>
    </row>
    <row r="202" spans="1:20" ht="108.75" customHeight="1" x14ac:dyDescent="0.3">
      <c r="A202" s="13" t="s">
        <v>1512</v>
      </c>
      <c r="B202" s="13" t="s">
        <v>142</v>
      </c>
      <c r="C202" s="13" t="s">
        <v>143</v>
      </c>
      <c r="D202" s="13" t="s">
        <v>1513</v>
      </c>
      <c r="E202" s="13" t="s">
        <v>58</v>
      </c>
      <c r="F202" s="13" t="s">
        <v>250</v>
      </c>
      <c r="G202" s="13" t="s">
        <v>1514</v>
      </c>
      <c r="H202" s="13" t="s">
        <v>1475</v>
      </c>
      <c r="I202" s="13" t="s">
        <v>1515</v>
      </c>
      <c r="J202" s="13" t="s">
        <v>1516</v>
      </c>
      <c r="K202" s="13" t="s">
        <v>1517</v>
      </c>
      <c r="L202" s="13" t="s">
        <v>1518</v>
      </c>
      <c r="M202" s="13" t="s">
        <v>49</v>
      </c>
      <c r="N202" s="13" t="s">
        <v>176</v>
      </c>
      <c r="O202" s="13" t="s">
        <v>177</v>
      </c>
      <c r="P202" s="13" t="s">
        <v>178</v>
      </c>
      <c r="Q202" s="13" t="s">
        <v>188</v>
      </c>
      <c r="R202" s="13"/>
      <c r="S202" s="13" t="s">
        <v>1511</v>
      </c>
      <c r="T202" s="13" t="s">
        <v>1481</v>
      </c>
    </row>
    <row r="203" spans="1:20" ht="95.25" customHeight="1" x14ac:dyDescent="0.3">
      <c r="A203" s="13" t="s">
        <v>1519</v>
      </c>
      <c r="B203" s="13" t="s">
        <v>142</v>
      </c>
      <c r="C203" s="13" t="s">
        <v>143</v>
      </c>
      <c r="D203" s="13" t="s">
        <v>1520</v>
      </c>
      <c r="E203" s="13" t="s">
        <v>237</v>
      </c>
      <c r="F203" s="13" t="s">
        <v>1114</v>
      </c>
      <c r="G203" s="13" t="s">
        <v>183</v>
      </c>
      <c r="H203" s="13" t="s">
        <v>1475</v>
      </c>
      <c r="I203" s="13" t="s">
        <v>1521</v>
      </c>
      <c r="J203" s="13" t="s">
        <v>1522</v>
      </c>
      <c r="K203" s="13" t="s">
        <v>1523</v>
      </c>
      <c r="L203" s="13" t="s">
        <v>1524</v>
      </c>
      <c r="M203" s="13" t="s">
        <v>49</v>
      </c>
      <c r="N203" s="13" t="s">
        <v>176</v>
      </c>
      <c r="O203" s="13" t="s">
        <v>177</v>
      </c>
      <c r="P203" s="13" t="s">
        <v>178</v>
      </c>
      <c r="Q203" s="13" t="s">
        <v>188</v>
      </c>
      <c r="R203" s="13"/>
      <c r="S203" s="13" t="s">
        <v>1525</v>
      </c>
      <c r="T203" s="13" t="s">
        <v>1481</v>
      </c>
    </row>
    <row r="204" spans="1:20" ht="95.25" customHeight="1" x14ac:dyDescent="0.3">
      <c r="A204" s="13" t="s">
        <v>1526</v>
      </c>
      <c r="B204" s="13" t="s">
        <v>142</v>
      </c>
      <c r="C204" s="13" t="s">
        <v>143</v>
      </c>
      <c r="D204" s="13" t="s">
        <v>1527</v>
      </c>
      <c r="E204" s="14" t="s">
        <v>54</v>
      </c>
      <c r="F204" s="13" t="s">
        <v>356</v>
      </c>
      <c r="G204" s="13" t="s">
        <v>406</v>
      </c>
      <c r="H204" s="13" t="s">
        <v>1475</v>
      </c>
      <c r="I204" s="13" t="s">
        <v>1528</v>
      </c>
      <c r="J204" s="13" t="s">
        <v>1477</v>
      </c>
      <c r="K204" s="13" t="s">
        <v>1529</v>
      </c>
      <c r="L204" s="13" t="s">
        <v>1530</v>
      </c>
      <c r="M204" s="13" t="s">
        <v>49</v>
      </c>
      <c r="N204" s="13" t="s">
        <v>176</v>
      </c>
      <c r="O204" s="13" t="s">
        <v>177</v>
      </c>
      <c r="P204" s="13" t="s">
        <v>178</v>
      </c>
      <c r="Q204" s="13" t="s">
        <v>188</v>
      </c>
      <c r="R204" s="13"/>
      <c r="S204" s="13" t="s">
        <v>561</v>
      </c>
      <c r="T204" s="13" t="s">
        <v>1481</v>
      </c>
    </row>
    <row r="205" spans="1:20" ht="95.25" customHeight="1" x14ac:dyDescent="0.3">
      <c r="A205" s="13" t="s">
        <v>1531</v>
      </c>
      <c r="B205" s="13" t="s">
        <v>142</v>
      </c>
      <c r="C205" s="13" t="s">
        <v>143</v>
      </c>
      <c r="D205" s="13" t="s">
        <v>1532</v>
      </c>
      <c r="E205" s="13" t="s">
        <v>58</v>
      </c>
      <c r="F205" s="13" t="s">
        <v>321</v>
      </c>
      <c r="G205" s="13" t="s">
        <v>322</v>
      </c>
      <c r="H205" s="13" t="s">
        <v>1475</v>
      </c>
      <c r="I205" s="13" t="s">
        <v>1533</v>
      </c>
      <c r="J205" s="13" t="s">
        <v>1534</v>
      </c>
      <c r="K205" s="13" t="s">
        <v>893</v>
      </c>
      <c r="L205" s="13" t="s">
        <v>894</v>
      </c>
      <c r="M205" s="13" t="s">
        <v>49</v>
      </c>
      <c r="N205" s="13" t="s">
        <v>176</v>
      </c>
      <c r="O205" s="13" t="s">
        <v>177</v>
      </c>
      <c r="P205" s="13" t="s">
        <v>178</v>
      </c>
      <c r="Q205" s="13" t="s">
        <v>188</v>
      </c>
      <c r="R205" s="13"/>
      <c r="S205" s="13" t="s">
        <v>334</v>
      </c>
      <c r="T205" s="13" t="s">
        <v>1481</v>
      </c>
    </row>
    <row r="206" spans="1:20" ht="95.25" customHeight="1" x14ac:dyDescent="0.3">
      <c r="A206" s="13" t="s">
        <v>1535</v>
      </c>
      <c r="B206" s="13" t="s">
        <v>146</v>
      </c>
      <c r="C206" s="13" t="s">
        <v>143</v>
      </c>
      <c r="D206" s="13" t="s">
        <v>1536</v>
      </c>
      <c r="E206" s="13" t="s">
        <v>58</v>
      </c>
      <c r="F206" s="13" t="s">
        <v>169</v>
      </c>
      <c r="G206" s="13" t="s">
        <v>1537</v>
      </c>
      <c r="H206" s="13" t="s">
        <v>1475</v>
      </c>
      <c r="I206" s="13" t="s">
        <v>1538</v>
      </c>
      <c r="J206" s="13" t="s">
        <v>1539</v>
      </c>
      <c r="K206" s="13" t="s">
        <v>1540</v>
      </c>
      <c r="L206" s="13" t="s">
        <v>1541</v>
      </c>
      <c r="M206" s="13" t="s">
        <v>49</v>
      </c>
      <c r="N206" s="13" t="s">
        <v>176</v>
      </c>
      <c r="O206" s="13" t="s">
        <v>177</v>
      </c>
      <c r="P206" s="13" t="s">
        <v>178</v>
      </c>
      <c r="Q206" s="13" t="s">
        <v>188</v>
      </c>
      <c r="R206" s="13"/>
      <c r="S206" s="13" t="s">
        <v>384</v>
      </c>
      <c r="T206" s="13" t="s">
        <v>1481</v>
      </c>
    </row>
    <row r="207" spans="1:20" ht="95.25" customHeight="1" x14ac:dyDescent="0.3">
      <c r="A207" s="13" t="s">
        <v>1542</v>
      </c>
      <c r="B207" s="13" t="s">
        <v>146</v>
      </c>
      <c r="C207" s="13" t="s">
        <v>143</v>
      </c>
      <c r="D207" s="13" t="s">
        <v>1543</v>
      </c>
      <c r="E207" s="13" t="s">
        <v>58</v>
      </c>
      <c r="F207" s="13" t="s">
        <v>169</v>
      </c>
      <c r="G207" s="13" t="s">
        <v>1544</v>
      </c>
      <c r="H207" s="13" t="s">
        <v>1475</v>
      </c>
      <c r="I207" s="13" t="s">
        <v>1545</v>
      </c>
      <c r="J207" s="13" t="s">
        <v>1546</v>
      </c>
      <c r="K207" s="13" t="s">
        <v>1547</v>
      </c>
      <c r="L207" s="13" t="s">
        <v>1548</v>
      </c>
      <c r="M207" s="13" t="s">
        <v>49</v>
      </c>
      <c r="N207" s="13" t="s">
        <v>176</v>
      </c>
      <c r="O207" s="13" t="s">
        <v>177</v>
      </c>
      <c r="P207" s="13" t="s">
        <v>178</v>
      </c>
      <c r="Q207" s="13" t="s">
        <v>188</v>
      </c>
      <c r="R207" s="13"/>
      <c r="S207" s="13" t="s">
        <v>1549</v>
      </c>
      <c r="T207" s="13" t="s">
        <v>1481</v>
      </c>
    </row>
    <row r="208" spans="1:20" ht="95.25" customHeight="1" x14ac:dyDescent="0.3">
      <c r="A208" s="13" t="s">
        <v>1550</v>
      </c>
      <c r="B208" s="13" t="s">
        <v>146</v>
      </c>
      <c r="C208" s="13" t="s">
        <v>143</v>
      </c>
      <c r="D208" s="13" t="s">
        <v>1551</v>
      </c>
      <c r="E208" s="13" t="s">
        <v>58</v>
      </c>
      <c r="F208" s="13" t="s">
        <v>169</v>
      </c>
      <c r="G208" s="13" t="s">
        <v>1552</v>
      </c>
      <c r="H208" s="13" t="s">
        <v>1475</v>
      </c>
      <c r="I208" s="13" t="s">
        <v>1553</v>
      </c>
      <c r="J208" s="13" t="s">
        <v>1554</v>
      </c>
      <c r="K208" s="13" t="s">
        <v>1555</v>
      </c>
      <c r="L208" s="13" t="s">
        <v>1556</v>
      </c>
      <c r="M208" s="13" t="s">
        <v>49</v>
      </c>
      <c r="N208" s="13" t="s">
        <v>176</v>
      </c>
      <c r="O208" s="13" t="s">
        <v>177</v>
      </c>
      <c r="P208" s="13" t="s">
        <v>178</v>
      </c>
      <c r="Q208" s="13" t="s">
        <v>188</v>
      </c>
      <c r="R208" s="13"/>
      <c r="S208" s="13" t="s">
        <v>211</v>
      </c>
      <c r="T208" s="13" t="s">
        <v>1481</v>
      </c>
    </row>
    <row r="209" spans="1:20" ht="95.25" customHeight="1" x14ac:dyDescent="0.3">
      <c r="A209" s="13" t="s">
        <v>1557</v>
      </c>
      <c r="B209" s="13" t="s">
        <v>146</v>
      </c>
      <c r="C209" s="13" t="s">
        <v>143</v>
      </c>
      <c r="D209" s="13" t="s">
        <v>1558</v>
      </c>
      <c r="E209" s="13" t="s">
        <v>58</v>
      </c>
      <c r="F209" s="13" t="s">
        <v>169</v>
      </c>
      <c r="G209" s="13" t="s">
        <v>1559</v>
      </c>
      <c r="H209" s="13" t="s">
        <v>1475</v>
      </c>
      <c r="I209" s="13" t="s">
        <v>1560</v>
      </c>
      <c r="J209" s="13" t="s">
        <v>1561</v>
      </c>
      <c r="K209" s="13" t="s">
        <v>1562</v>
      </c>
      <c r="L209" s="13" t="s">
        <v>1563</v>
      </c>
      <c r="M209" s="13" t="s">
        <v>49</v>
      </c>
      <c r="N209" s="13" t="s">
        <v>176</v>
      </c>
      <c r="O209" s="13" t="s">
        <v>177</v>
      </c>
      <c r="P209" s="13" t="s">
        <v>178</v>
      </c>
      <c r="Q209" s="13" t="s">
        <v>188</v>
      </c>
      <c r="R209" s="13"/>
      <c r="S209" s="13" t="s">
        <v>1564</v>
      </c>
      <c r="T209" s="13" t="s">
        <v>1481</v>
      </c>
    </row>
    <row r="210" spans="1:20" ht="95.25" customHeight="1" x14ac:dyDescent="0.3">
      <c r="A210" s="13" t="s">
        <v>1565</v>
      </c>
      <c r="B210" s="13" t="s">
        <v>146</v>
      </c>
      <c r="C210" s="13" t="s">
        <v>143</v>
      </c>
      <c r="D210" s="13" t="s">
        <v>1566</v>
      </c>
      <c r="E210" s="13" t="s">
        <v>237</v>
      </c>
      <c r="F210" s="13" t="s">
        <v>528</v>
      </c>
      <c r="G210" s="13" t="s">
        <v>1567</v>
      </c>
      <c r="H210" s="13" t="s">
        <v>1475</v>
      </c>
      <c r="I210" s="13" t="s">
        <v>1568</v>
      </c>
      <c r="J210" s="13" t="s">
        <v>1569</v>
      </c>
      <c r="K210" s="13" t="s">
        <v>1570</v>
      </c>
      <c r="L210" s="13" t="s">
        <v>1571</v>
      </c>
      <c r="M210" s="13" t="s">
        <v>49</v>
      </c>
      <c r="N210" s="13" t="s">
        <v>176</v>
      </c>
      <c r="O210" s="13" t="s">
        <v>177</v>
      </c>
      <c r="P210" s="13" t="s">
        <v>178</v>
      </c>
      <c r="Q210" s="13" t="s">
        <v>188</v>
      </c>
      <c r="R210" s="13"/>
      <c r="S210" s="13" t="s">
        <v>1564</v>
      </c>
      <c r="T210" s="13" t="s">
        <v>1481</v>
      </c>
    </row>
    <row r="211" spans="1:20" ht="95.25" customHeight="1" x14ac:dyDescent="0.3">
      <c r="A211" s="13" t="s">
        <v>1572</v>
      </c>
      <c r="B211" s="13" t="s">
        <v>146</v>
      </c>
      <c r="C211" s="13" t="s">
        <v>143</v>
      </c>
      <c r="D211" s="13" t="s">
        <v>1573</v>
      </c>
      <c r="E211" s="13" t="s">
        <v>58</v>
      </c>
      <c r="F211" s="13" t="s">
        <v>250</v>
      </c>
      <c r="G211" s="13" t="s">
        <v>1574</v>
      </c>
      <c r="H211" s="13" t="s">
        <v>1475</v>
      </c>
      <c r="I211" s="13" t="s">
        <v>1575</v>
      </c>
      <c r="J211" s="13" t="s">
        <v>1576</v>
      </c>
      <c r="K211" s="13" t="s">
        <v>1577</v>
      </c>
      <c r="L211" s="13" t="s">
        <v>999</v>
      </c>
      <c r="M211" s="13" t="s">
        <v>49</v>
      </c>
      <c r="N211" s="13" t="s">
        <v>176</v>
      </c>
      <c r="O211" s="13" t="s">
        <v>177</v>
      </c>
      <c r="P211" s="13" t="s">
        <v>178</v>
      </c>
      <c r="Q211" s="13" t="s">
        <v>188</v>
      </c>
      <c r="R211" s="13"/>
      <c r="S211" s="13" t="s">
        <v>779</v>
      </c>
      <c r="T211" s="13" t="s">
        <v>1481</v>
      </c>
    </row>
    <row r="212" spans="1:20" ht="95.25" customHeight="1" x14ac:dyDescent="0.3">
      <c r="A212" s="13" t="s">
        <v>1578</v>
      </c>
      <c r="B212" s="13" t="s">
        <v>146</v>
      </c>
      <c r="C212" s="13" t="s">
        <v>143</v>
      </c>
      <c r="D212" s="13" t="s">
        <v>1579</v>
      </c>
      <c r="E212" s="13" t="s">
        <v>237</v>
      </c>
      <c r="F212" s="13" t="s">
        <v>995</v>
      </c>
      <c r="G212" s="13" t="s">
        <v>1580</v>
      </c>
      <c r="H212" s="13" t="s">
        <v>1475</v>
      </c>
      <c r="I212" s="13" t="s">
        <v>1581</v>
      </c>
      <c r="J212" s="13" t="s">
        <v>1582</v>
      </c>
      <c r="K212" s="13" t="s">
        <v>1583</v>
      </c>
      <c r="L212" s="13" t="s">
        <v>1584</v>
      </c>
      <c r="M212" s="13" t="s">
        <v>49</v>
      </c>
      <c r="N212" s="13" t="s">
        <v>176</v>
      </c>
      <c r="O212" s="13" t="s">
        <v>177</v>
      </c>
      <c r="P212" s="13" t="s">
        <v>178</v>
      </c>
      <c r="Q212" s="13" t="s">
        <v>188</v>
      </c>
      <c r="R212" s="13"/>
      <c r="S212" s="13" t="s">
        <v>220</v>
      </c>
      <c r="T212" s="13" t="s">
        <v>1481</v>
      </c>
    </row>
    <row r="213" spans="1:20" ht="95.25" customHeight="1" x14ac:dyDescent="0.3">
      <c r="A213" s="13" t="s">
        <v>1585</v>
      </c>
      <c r="B213" s="13" t="s">
        <v>146</v>
      </c>
      <c r="C213" s="13" t="s">
        <v>143</v>
      </c>
      <c r="D213" s="13" t="s">
        <v>1586</v>
      </c>
      <c r="E213" s="13" t="s">
        <v>58</v>
      </c>
      <c r="F213" s="13" t="s">
        <v>250</v>
      </c>
      <c r="G213" s="13" t="s">
        <v>1587</v>
      </c>
      <c r="H213" s="13" t="s">
        <v>1475</v>
      </c>
      <c r="I213" s="13" t="s">
        <v>1588</v>
      </c>
      <c r="J213" s="13" t="s">
        <v>1589</v>
      </c>
      <c r="K213" s="13" t="s">
        <v>1577</v>
      </c>
      <c r="L213" s="13" t="s">
        <v>999</v>
      </c>
      <c r="M213" s="13" t="s">
        <v>49</v>
      </c>
      <c r="N213" s="13" t="s">
        <v>176</v>
      </c>
      <c r="O213" s="13" t="s">
        <v>177</v>
      </c>
      <c r="P213" s="13" t="s">
        <v>178</v>
      </c>
      <c r="Q213" s="13" t="s">
        <v>188</v>
      </c>
      <c r="R213" s="13"/>
      <c r="S213" s="13" t="s">
        <v>575</v>
      </c>
      <c r="T213" s="13" t="s">
        <v>1481</v>
      </c>
    </row>
    <row r="214" spans="1:20" ht="95.25" customHeight="1" x14ac:dyDescent="0.3">
      <c r="A214" s="13" t="s">
        <v>1590</v>
      </c>
      <c r="B214" s="13" t="s">
        <v>146</v>
      </c>
      <c r="C214" s="13" t="s">
        <v>143</v>
      </c>
      <c r="D214" s="13" t="s">
        <v>1591</v>
      </c>
      <c r="E214" s="13" t="s">
        <v>237</v>
      </c>
      <c r="F214" s="13" t="s">
        <v>250</v>
      </c>
      <c r="G214" s="13" t="s">
        <v>659</v>
      </c>
      <c r="H214" s="13" t="s">
        <v>1475</v>
      </c>
      <c r="I214" s="13" t="s">
        <v>1592</v>
      </c>
      <c r="J214" s="13" t="s">
        <v>1593</v>
      </c>
      <c r="K214" s="13" t="s">
        <v>1577</v>
      </c>
      <c r="L214" s="13" t="s">
        <v>999</v>
      </c>
      <c r="M214" s="13" t="s">
        <v>49</v>
      </c>
      <c r="N214" s="13" t="s">
        <v>176</v>
      </c>
      <c r="O214" s="13" t="s">
        <v>177</v>
      </c>
      <c r="P214" s="13" t="s">
        <v>178</v>
      </c>
      <c r="Q214" s="13" t="s">
        <v>188</v>
      </c>
      <c r="R214" s="13"/>
      <c r="S214" s="13" t="s">
        <v>816</v>
      </c>
      <c r="T214" s="13" t="s">
        <v>1481</v>
      </c>
    </row>
    <row r="215" spans="1:20" ht="135.75" customHeight="1" x14ac:dyDescent="0.3">
      <c r="A215" s="13" t="s">
        <v>1594</v>
      </c>
      <c r="B215" s="13" t="s">
        <v>146</v>
      </c>
      <c r="C215" s="13" t="s">
        <v>143</v>
      </c>
      <c r="D215" s="13" t="s">
        <v>1595</v>
      </c>
      <c r="E215" s="13" t="s">
        <v>237</v>
      </c>
      <c r="F215" s="13" t="s">
        <v>169</v>
      </c>
      <c r="G215" s="13" t="s">
        <v>1596</v>
      </c>
      <c r="H215" s="13" t="s">
        <v>1475</v>
      </c>
      <c r="I215" s="13" t="s">
        <v>1597</v>
      </c>
      <c r="J215" s="13" t="s">
        <v>1598</v>
      </c>
      <c r="K215" s="13" t="s">
        <v>1599</v>
      </c>
      <c r="L215" s="13" t="s">
        <v>1600</v>
      </c>
      <c r="M215" s="13" t="s">
        <v>49</v>
      </c>
      <c r="N215" s="13" t="s">
        <v>176</v>
      </c>
      <c r="O215" s="13" t="s">
        <v>177</v>
      </c>
      <c r="P215" s="13" t="s">
        <v>178</v>
      </c>
      <c r="Q215" s="13" t="s">
        <v>188</v>
      </c>
      <c r="R215" s="13"/>
      <c r="S215" s="13" t="s">
        <v>1601</v>
      </c>
      <c r="T215" s="13" t="s">
        <v>1481</v>
      </c>
    </row>
  </sheetData>
  <autoFilter ref="A4:T215" xr:uid="{00000000-0009-0000-0000-000002000000}"/>
  <mergeCells count="2">
    <mergeCell ref="A1:C1"/>
    <mergeCell ref="A2:S2"/>
  </mergeCells>
  <conditionalFormatting sqref="M5:M215">
    <cfRule type="expression" dxfId="2" priority="2">
      <formula>$M5="Pass"</formula>
    </cfRule>
    <cfRule type="expression" dxfId="1" priority="3">
      <formula>$M5="Fail"</formula>
    </cfRule>
    <cfRule type="expression" dxfId="0" priority="4">
      <formula>$M5="Blocked"</formula>
    </cfRule>
  </conditionalFormatting>
  <dataValidations count="4">
    <dataValidation type="list" allowBlank="1" sqref="E5:E215" xr:uid="{00000000-0002-0000-0200-000000000000}">
      <formula1>"P1 — Critical,P2 — High,P3 — Medium,P4 — Low"</formula1>
      <formula2>0</formula2>
    </dataValidation>
    <dataValidation type="list" allowBlank="1" sqref="M5:M215" xr:uid="{00000000-0002-0000-0200-000001000000}">
      <formula1>"Not Run,Pass,Fail,Blocked"</formula1>
      <formula2>0</formula2>
    </dataValidation>
    <dataValidation type="list" allowBlank="1" sqref="N5:N215" xr:uid="{00000000-0002-0000-0200-000002000000}">
      <formula1>"Avtomat,Manual"</formula1>
      <formula2>0</formula2>
    </dataValidation>
    <dataValidation type="list" allowBlank="1" sqref="P5:Q215" xr:uid="{00000000-0002-0000-0200-000003000000}">
      <formula1>"Bəli,Xeyr"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F221"/>
  <sheetViews>
    <sheetView zoomScaleNormal="100" workbookViewId="0">
      <pane xSplit="4" ySplit="4" topLeftCell="E62" activePane="bottomRight" state="frozen"/>
      <selection pane="topRight" activeCell="E1" sqref="E1"/>
      <selection pane="bottomLeft" activeCell="A62" sqref="A62"/>
      <selection pane="bottomRight" activeCell="B78" sqref="B78"/>
    </sheetView>
  </sheetViews>
  <sheetFormatPr defaultColWidth="8.6640625" defaultRowHeight="14.4" x14ac:dyDescent="0.3"/>
  <cols>
    <col min="1" max="1" width="29.6640625" customWidth="1"/>
    <col min="2" max="2" width="55" customWidth="1"/>
    <col min="3" max="3" width="16.5546875" customWidth="1"/>
    <col min="4" max="4" width="12.109375" customWidth="1"/>
    <col min="5" max="110" width="11.109375" customWidth="1"/>
  </cols>
  <sheetData>
    <row r="1" spans="1:110" ht="17.25" customHeight="1" x14ac:dyDescent="0.3">
      <c r="A1" s="19" t="s">
        <v>1602</v>
      </c>
      <c r="B1" s="20"/>
    </row>
    <row r="2" spans="1:110" ht="4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 spans="1:110" ht="213" customHeight="1" x14ac:dyDescent="0.3">
      <c r="A3" s="21"/>
      <c r="B3" s="21"/>
      <c r="C3" s="21"/>
      <c r="D3" s="21"/>
      <c r="E3" s="22" t="s">
        <v>1603</v>
      </c>
      <c r="F3" s="22" t="s">
        <v>1604</v>
      </c>
      <c r="G3" s="22" t="s">
        <v>1605</v>
      </c>
      <c r="H3" s="22" t="s">
        <v>1606</v>
      </c>
      <c r="I3" s="22" t="s">
        <v>1607</v>
      </c>
      <c r="J3" s="22" t="s">
        <v>1608</v>
      </c>
      <c r="K3" s="22" t="s">
        <v>1609</v>
      </c>
      <c r="L3" s="22" t="s">
        <v>1610</v>
      </c>
      <c r="M3" s="22" t="s">
        <v>1611</v>
      </c>
      <c r="N3" s="22" t="s">
        <v>1612</v>
      </c>
      <c r="O3" s="22" t="s">
        <v>1613</v>
      </c>
      <c r="P3" s="22" t="s">
        <v>1614</v>
      </c>
      <c r="Q3" s="22" t="s">
        <v>1615</v>
      </c>
      <c r="R3" s="22" t="s">
        <v>1616</v>
      </c>
      <c r="S3" s="22" t="s">
        <v>1617</v>
      </c>
      <c r="T3" s="22" t="s">
        <v>1618</v>
      </c>
      <c r="U3" s="22" t="s">
        <v>1619</v>
      </c>
      <c r="V3" s="22" t="s">
        <v>1620</v>
      </c>
      <c r="W3" s="22" t="s">
        <v>1621</v>
      </c>
      <c r="X3" s="22" t="s">
        <v>1622</v>
      </c>
      <c r="Y3" s="22" t="s">
        <v>1623</v>
      </c>
      <c r="Z3" s="22" t="s">
        <v>1624</v>
      </c>
      <c r="AA3" s="22" t="s">
        <v>1625</v>
      </c>
      <c r="AB3" s="22" t="s">
        <v>1626</v>
      </c>
      <c r="AC3" s="22" t="s">
        <v>1627</v>
      </c>
      <c r="AD3" s="22" t="s">
        <v>1628</v>
      </c>
      <c r="AE3" s="22" t="s">
        <v>1629</v>
      </c>
      <c r="AF3" s="22" t="s">
        <v>1630</v>
      </c>
      <c r="AG3" s="22" t="s">
        <v>1631</v>
      </c>
      <c r="AH3" s="22" t="s">
        <v>1632</v>
      </c>
      <c r="AI3" s="22" t="s">
        <v>1633</v>
      </c>
      <c r="AJ3" s="22" t="s">
        <v>1634</v>
      </c>
      <c r="AK3" s="22" t="s">
        <v>1635</v>
      </c>
      <c r="AL3" s="22" t="s">
        <v>1636</v>
      </c>
      <c r="AM3" s="22" t="s">
        <v>1637</v>
      </c>
      <c r="AN3" s="22" t="s">
        <v>1638</v>
      </c>
      <c r="AO3" s="22" t="s">
        <v>1639</v>
      </c>
      <c r="AP3" s="22" t="s">
        <v>1640</v>
      </c>
      <c r="AQ3" s="22" t="s">
        <v>1641</v>
      </c>
      <c r="AR3" s="22" t="s">
        <v>1642</v>
      </c>
      <c r="AS3" s="22" t="s">
        <v>1643</v>
      </c>
      <c r="AT3" s="22" t="s">
        <v>1644</v>
      </c>
      <c r="AU3" s="22" t="s">
        <v>1645</v>
      </c>
      <c r="AV3" s="22" t="s">
        <v>1646</v>
      </c>
      <c r="AW3" s="22" t="s">
        <v>1647</v>
      </c>
      <c r="AX3" s="22" t="s">
        <v>1648</v>
      </c>
      <c r="AY3" s="22" t="s">
        <v>1649</v>
      </c>
      <c r="AZ3" s="22" t="s">
        <v>1650</v>
      </c>
      <c r="BA3" s="22" t="s">
        <v>1651</v>
      </c>
      <c r="BB3" s="22" t="s">
        <v>1652</v>
      </c>
      <c r="BC3" s="22" t="s">
        <v>1653</v>
      </c>
      <c r="BD3" s="22" t="s">
        <v>1654</v>
      </c>
      <c r="BE3" s="22" t="s">
        <v>1655</v>
      </c>
      <c r="BF3" s="22" t="s">
        <v>1656</v>
      </c>
      <c r="BG3" s="22" t="s">
        <v>1657</v>
      </c>
      <c r="BH3" s="22" t="s">
        <v>1658</v>
      </c>
      <c r="BI3" s="22" t="s">
        <v>1659</v>
      </c>
      <c r="BJ3" s="22" t="s">
        <v>1660</v>
      </c>
      <c r="BK3" s="22" t="s">
        <v>1661</v>
      </c>
      <c r="BL3" s="22" t="s">
        <v>1662</v>
      </c>
      <c r="BM3" s="22" t="s">
        <v>1663</v>
      </c>
      <c r="BN3" s="22" t="s">
        <v>1664</v>
      </c>
      <c r="BO3" s="22" t="s">
        <v>1665</v>
      </c>
      <c r="BP3" s="22" t="s">
        <v>1666</v>
      </c>
      <c r="BQ3" s="22" t="s">
        <v>1667</v>
      </c>
      <c r="BR3" s="22" t="s">
        <v>1668</v>
      </c>
      <c r="BS3" s="22" t="s">
        <v>1669</v>
      </c>
      <c r="BT3" s="22" t="s">
        <v>1670</v>
      </c>
      <c r="BU3" s="22" t="s">
        <v>1671</v>
      </c>
      <c r="BV3" s="22" t="s">
        <v>1672</v>
      </c>
      <c r="BW3" s="22" t="s">
        <v>1673</v>
      </c>
      <c r="BX3" s="22" t="s">
        <v>1674</v>
      </c>
      <c r="BY3" s="22" t="s">
        <v>1675</v>
      </c>
      <c r="BZ3" s="22" t="s">
        <v>1676</v>
      </c>
      <c r="CA3" s="22" t="s">
        <v>1677</v>
      </c>
      <c r="CB3" s="22" t="s">
        <v>1678</v>
      </c>
      <c r="CC3" s="22" t="s">
        <v>1679</v>
      </c>
      <c r="CD3" s="22" t="s">
        <v>1680</v>
      </c>
      <c r="CE3" s="22" t="s">
        <v>1681</v>
      </c>
      <c r="CF3" s="22" t="s">
        <v>1682</v>
      </c>
      <c r="CG3" s="22" t="s">
        <v>1683</v>
      </c>
      <c r="CH3" s="22" t="s">
        <v>1684</v>
      </c>
      <c r="CI3" s="22" t="s">
        <v>1685</v>
      </c>
      <c r="CJ3" s="22" t="s">
        <v>1686</v>
      </c>
      <c r="CK3" s="22" t="s">
        <v>1687</v>
      </c>
      <c r="CL3" s="22" t="s">
        <v>1688</v>
      </c>
      <c r="CM3" s="22" t="s">
        <v>1689</v>
      </c>
      <c r="CN3" s="22" t="s">
        <v>1690</v>
      </c>
      <c r="CO3" s="22" t="s">
        <v>1691</v>
      </c>
      <c r="CP3" s="22" t="s">
        <v>1692</v>
      </c>
      <c r="CQ3" s="22" t="s">
        <v>1693</v>
      </c>
      <c r="CR3" s="22" t="s">
        <v>1694</v>
      </c>
      <c r="CS3" s="22" t="s">
        <v>1695</v>
      </c>
      <c r="CT3" s="22" t="s">
        <v>1696</v>
      </c>
      <c r="CU3" s="22" t="s">
        <v>1697</v>
      </c>
      <c r="CV3" s="22" t="s">
        <v>1698</v>
      </c>
      <c r="CW3" s="22" t="s">
        <v>1699</v>
      </c>
      <c r="CX3" s="22" t="s">
        <v>1700</v>
      </c>
      <c r="CY3" s="22" t="s">
        <v>1701</v>
      </c>
      <c r="CZ3" s="22" t="s">
        <v>1702</v>
      </c>
      <c r="DA3" s="22" t="s">
        <v>1703</v>
      </c>
      <c r="DB3" s="22" t="s">
        <v>1704</v>
      </c>
      <c r="DC3" s="22" t="s">
        <v>1705</v>
      </c>
      <c r="DD3" s="22" t="s">
        <v>1706</v>
      </c>
      <c r="DE3" s="22" t="s">
        <v>1707</v>
      </c>
      <c r="DF3" s="22" t="s">
        <v>1627</v>
      </c>
    </row>
    <row r="4" spans="1:110" ht="41.25" customHeight="1" x14ac:dyDescent="0.3">
      <c r="A4" s="18" t="s">
        <v>1708</v>
      </c>
      <c r="B4" s="18" t="s">
        <v>1709</v>
      </c>
      <c r="C4" s="18" t="s">
        <v>1710</v>
      </c>
      <c r="D4" s="18" t="s">
        <v>159</v>
      </c>
      <c r="E4" s="18" t="s">
        <v>1711</v>
      </c>
      <c r="F4" s="18" t="s">
        <v>1712</v>
      </c>
      <c r="G4" s="18" t="s">
        <v>1713</v>
      </c>
      <c r="H4" s="18" t="s">
        <v>1714</v>
      </c>
      <c r="I4" s="18" t="s">
        <v>1715</v>
      </c>
      <c r="J4" s="18" t="s">
        <v>1716</v>
      </c>
      <c r="K4" s="18" t="s">
        <v>1717</v>
      </c>
      <c r="L4" s="18" t="s">
        <v>1718</v>
      </c>
      <c r="M4" s="18" t="s">
        <v>1719</v>
      </c>
      <c r="N4" s="18" t="s">
        <v>1720</v>
      </c>
      <c r="O4" s="18" t="s">
        <v>1721</v>
      </c>
      <c r="P4" s="18" t="s">
        <v>1722</v>
      </c>
      <c r="Q4" s="18" t="s">
        <v>1723</v>
      </c>
      <c r="R4" s="18" t="s">
        <v>1724</v>
      </c>
      <c r="S4" s="18" t="s">
        <v>1725</v>
      </c>
      <c r="T4" s="18" t="s">
        <v>1726</v>
      </c>
      <c r="U4" s="18" t="s">
        <v>1727</v>
      </c>
      <c r="V4" s="18" t="s">
        <v>1728</v>
      </c>
      <c r="W4" s="18" t="s">
        <v>1729</v>
      </c>
      <c r="X4" s="18" t="s">
        <v>1730</v>
      </c>
      <c r="Y4" s="18" t="s">
        <v>1731</v>
      </c>
      <c r="Z4" s="18" t="s">
        <v>1732</v>
      </c>
      <c r="AA4" s="18" t="s">
        <v>1733</v>
      </c>
      <c r="AB4" s="18" t="s">
        <v>1734</v>
      </c>
      <c r="AC4" s="18" t="s">
        <v>1735</v>
      </c>
      <c r="AD4" s="18" t="s">
        <v>1736</v>
      </c>
      <c r="AE4" s="18" t="s">
        <v>1737</v>
      </c>
      <c r="AF4" s="18" t="s">
        <v>1738</v>
      </c>
      <c r="AG4" s="18" t="s">
        <v>1739</v>
      </c>
      <c r="AH4" s="18" t="s">
        <v>1740</v>
      </c>
      <c r="AI4" s="18" t="s">
        <v>1741</v>
      </c>
      <c r="AJ4" s="18" t="s">
        <v>1742</v>
      </c>
      <c r="AK4" s="18" t="s">
        <v>1743</v>
      </c>
      <c r="AL4" s="18" t="s">
        <v>1744</v>
      </c>
      <c r="AM4" s="18" t="s">
        <v>1745</v>
      </c>
      <c r="AN4" s="18" t="s">
        <v>1746</v>
      </c>
      <c r="AO4" s="18" t="s">
        <v>1747</v>
      </c>
      <c r="AP4" s="18" t="s">
        <v>1748</v>
      </c>
      <c r="AQ4" s="18" t="s">
        <v>1749</v>
      </c>
      <c r="AR4" s="18" t="s">
        <v>1750</v>
      </c>
      <c r="AS4" s="18" t="s">
        <v>1751</v>
      </c>
      <c r="AT4" s="18" t="s">
        <v>1752</v>
      </c>
      <c r="AU4" s="18" t="s">
        <v>1753</v>
      </c>
      <c r="AV4" s="18" t="s">
        <v>1754</v>
      </c>
      <c r="AW4" s="18" t="s">
        <v>1755</v>
      </c>
      <c r="AX4" s="18" t="s">
        <v>1756</v>
      </c>
      <c r="AY4" s="18" t="s">
        <v>1757</v>
      </c>
      <c r="AZ4" s="18" t="s">
        <v>1758</v>
      </c>
      <c r="BA4" s="18" t="s">
        <v>1759</v>
      </c>
      <c r="BB4" s="18" t="s">
        <v>1760</v>
      </c>
      <c r="BC4" s="18" t="s">
        <v>1761</v>
      </c>
      <c r="BD4" s="18" t="s">
        <v>1762</v>
      </c>
      <c r="BE4" s="18" t="s">
        <v>1763</v>
      </c>
      <c r="BF4" s="18" t="s">
        <v>1764</v>
      </c>
      <c r="BG4" s="18" t="s">
        <v>1765</v>
      </c>
      <c r="BH4" s="18" t="s">
        <v>1766</v>
      </c>
      <c r="BI4" s="18" t="s">
        <v>1767</v>
      </c>
      <c r="BJ4" s="18" t="s">
        <v>1768</v>
      </c>
      <c r="BK4" s="18" t="s">
        <v>1769</v>
      </c>
      <c r="BL4" s="18" t="s">
        <v>1770</v>
      </c>
      <c r="BM4" s="18" t="s">
        <v>1771</v>
      </c>
      <c r="BN4" s="18" t="s">
        <v>1772</v>
      </c>
      <c r="BO4" s="18" t="s">
        <v>1773</v>
      </c>
      <c r="BP4" s="18" t="s">
        <v>1774</v>
      </c>
      <c r="BQ4" s="18" t="s">
        <v>1775</v>
      </c>
      <c r="BR4" s="18" t="s">
        <v>1776</v>
      </c>
      <c r="BS4" s="18" t="s">
        <v>1777</v>
      </c>
      <c r="BT4" s="18" t="s">
        <v>1778</v>
      </c>
      <c r="BU4" s="18" t="s">
        <v>1779</v>
      </c>
      <c r="BV4" s="18" t="s">
        <v>1780</v>
      </c>
      <c r="BW4" s="18" t="s">
        <v>1781</v>
      </c>
      <c r="BX4" s="18" t="s">
        <v>1782</v>
      </c>
      <c r="BY4" s="18" t="s">
        <v>1783</v>
      </c>
      <c r="BZ4" s="18" t="s">
        <v>1784</v>
      </c>
      <c r="CA4" s="18" t="s">
        <v>1785</v>
      </c>
      <c r="CB4" s="18" t="s">
        <v>1786</v>
      </c>
      <c r="CC4" s="18" t="s">
        <v>1787</v>
      </c>
      <c r="CD4" s="18" t="s">
        <v>1788</v>
      </c>
      <c r="CE4" s="18" t="s">
        <v>1789</v>
      </c>
      <c r="CF4" s="18" t="s">
        <v>1790</v>
      </c>
      <c r="CG4" s="18" t="s">
        <v>1791</v>
      </c>
      <c r="CH4" s="18" t="s">
        <v>1792</v>
      </c>
      <c r="CI4" s="18" t="s">
        <v>1793</v>
      </c>
      <c r="CJ4" s="18" t="s">
        <v>1794</v>
      </c>
      <c r="CK4" s="18" t="s">
        <v>1795</v>
      </c>
      <c r="CL4" s="18" t="s">
        <v>1796</v>
      </c>
      <c r="CM4" s="18" t="s">
        <v>1797</v>
      </c>
      <c r="CN4" s="18" t="s">
        <v>1798</v>
      </c>
      <c r="CO4" s="18" t="s">
        <v>1799</v>
      </c>
      <c r="CP4" s="18" t="s">
        <v>1800</v>
      </c>
      <c r="CQ4" s="18" t="s">
        <v>1801</v>
      </c>
      <c r="CR4" s="18" t="s">
        <v>1802</v>
      </c>
      <c r="CS4" s="18" t="s">
        <v>1803</v>
      </c>
      <c r="CT4" s="18" t="s">
        <v>1804</v>
      </c>
      <c r="CU4" s="18" t="s">
        <v>1805</v>
      </c>
      <c r="CV4" s="18" t="s">
        <v>1806</v>
      </c>
      <c r="CW4" s="18" t="s">
        <v>1807</v>
      </c>
      <c r="CX4" s="18" t="s">
        <v>1808</v>
      </c>
      <c r="CY4" s="18" t="s">
        <v>1809</v>
      </c>
      <c r="CZ4" s="18" t="s">
        <v>1810</v>
      </c>
      <c r="DA4" s="18" t="s">
        <v>1811</v>
      </c>
      <c r="DB4" s="18" t="s">
        <v>1812</v>
      </c>
      <c r="DC4" s="18" t="s">
        <v>1813</v>
      </c>
      <c r="DD4" s="18" t="s">
        <v>1814</v>
      </c>
      <c r="DE4" s="18" t="s">
        <v>1815</v>
      </c>
      <c r="DF4" s="18" t="s">
        <v>1816</v>
      </c>
    </row>
    <row r="5" spans="1:110" ht="42" customHeight="1" x14ac:dyDescent="0.3">
      <c r="A5" s="13" t="str">
        <f>'API Test Cases'!A5</f>
        <v>TC_BEN_POS_001</v>
      </c>
      <c r="B5" s="13" t="str">
        <f>'API Test Cases'!D5</f>
        <v>Bütün sahələr etibarlı olduqda alıcı yaradılır: 201, cavabda bütün sahələr və Location header qaytarılır</v>
      </c>
      <c r="C5" s="13" t="str">
        <f>'API Test Cases'!B5</f>
        <v>SC-001</v>
      </c>
      <c r="D5" s="13" t="str">
        <f>'API Test Cases'!M5</f>
        <v>Pass</v>
      </c>
      <c r="E5" s="16" t="s">
        <v>1817</v>
      </c>
      <c r="F5" s="16"/>
      <c r="G5" s="16"/>
      <c r="H5" s="16"/>
      <c r="I5" s="16"/>
      <c r="J5" s="16"/>
      <c r="K5" s="16"/>
      <c r="L5" s="16"/>
      <c r="M5" s="16"/>
      <c r="N5" s="16"/>
      <c r="O5" s="16" t="s">
        <v>1817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</row>
    <row r="6" spans="1:110" ht="42" customHeight="1" x14ac:dyDescent="0.3">
      <c r="A6" s="13" t="str">
        <f>'API Test Cases'!A6</f>
        <v>TC_BEN_POS_002</v>
      </c>
      <c r="B6" s="13" t="str">
        <f>'API Test Cases'!D6</f>
        <v>IBAN boşluqlu və kiçik hərflə göndərildikdə boşluqsuz və böyük hərflə saxlanılır</v>
      </c>
      <c r="C6" s="13" t="str">
        <f>'API Test Cases'!B6</f>
        <v>SC-001</v>
      </c>
      <c r="D6" s="13" t="str">
        <f>'API Test Cases'!M6</f>
        <v>Pass</v>
      </c>
      <c r="E6" s="16"/>
      <c r="F6" s="16" t="s">
        <v>1817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</row>
    <row r="7" spans="1:110" ht="42" customHeight="1" x14ac:dyDescent="0.3">
      <c r="A7" s="13" t="str">
        <f>'API Test Cases'!A7</f>
        <v>TC_BEN_POS_003</v>
      </c>
      <c r="B7" s="13" t="str">
        <f>'API Test Cases'!D7</f>
        <v>Cavabdakı ibanMasked IBAN-ın yalnız ilk 4 və son 4 simvolunu göstərir</v>
      </c>
      <c r="C7" s="13" t="str">
        <f>'API Test Cases'!B7</f>
        <v>SC-001</v>
      </c>
      <c r="D7" s="13" t="str">
        <f>'API Test Cases'!M7</f>
        <v>Pass</v>
      </c>
      <c r="E7" s="16" t="s">
        <v>1817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</row>
    <row r="8" spans="1:110" ht="42" customHeight="1" x14ac:dyDescent="0.3">
      <c r="A8" s="13" t="str">
        <f>'API Test Cases'!A8</f>
        <v>TC_BEN_POS_004</v>
      </c>
      <c r="B8" s="13" t="str">
        <f>'API Test Cases'!D8</f>
        <v>nickname göndərilmədikdə alıcı yaradılır və cavabda "nickname": null qaytarılır</v>
      </c>
      <c r="C8" s="13" t="str">
        <f>'API Test Cases'!B8</f>
        <v>SC-001</v>
      </c>
      <c r="D8" s="13" t="str">
        <f>'API Test Cases'!M8</f>
        <v>Pass</v>
      </c>
      <c r="E8" s="16"/>
      <c r="F8" s="16"/>
      <c r="G8" s="16" t="s">
        <v>1817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</row>
    <row r="9" spans="1:110" ht="42" customHeight="1" x14ac:dyDescent="0.3">
      <c r="A9" s="13" t="str">
        <f>'API Test Cases'!A9</f>
        <v>TC_BEN_POS_005</v>
      </c>
      <c r="B9" s="13" t="str">
        <f>'API Test Cases'!D9</f>
        <v>currency USD və EUR olduqda alıcı yaradılır və valyuta cavabda eynilə qaytarılır</v>
      </c>
      <c r="C9" s="13" t="str">
        <f>'API Test Cases'!B9</f>
        <v>SC-001</v>
      </c>
      <c r="D9" s="13" t="str">
        <f>'API Test Cases'!M9</f>
        <v>Pass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 t="s">
        <v>1817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</row>
    <row r="10" spans="1:110" ht="42" customHeight="1" x14ac:dyDescent="0.3">
      <c r="A10" s="13" t="str">
        <f>'API Test Cases'!A10</f>
        <v>TC_BEN_BVA_006</v>
      </c>
      <c r="B10" s="13" t="str">
        <f>'API Test Cases'!D10</f>
        <v>fullName 2 simvol (aşağı sərhəd) olduqda qəbul edilir</v>
      </c>
      <c r="C10" s="13" t="str">
        <f>'API Test Cases'!B10</f>
        <v>SC-002</v>
      </c>
      <c r="D10" s="13" t="str">
        <f>'API Test Cases'!M10</f>
        <v>Pass</v>
      </c>
      <c r="E10" s="16"/>
      <c r="F10" s="16"/>
      <c r="G10" s="16"/>
      <c r="H10" s="16"/>
      <c r="I10" s="16" t="s">
        <v>1817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</row>
    <row r="11" spans="1:110" ht="42" customHeight="1" x14ac:dyDescent="0.3">
      <c r="A11" s="13" t="str">
        <f>'API Test Cases'!A11</f>
        <v>TC_BEN_BVA_007</v>
      </c>
      <c r="B11" s="13" t="str">
        <f>'API Test Cases'!D11</f>
        <v>fullName 50 simvol (yuxarı sərhəd) olduqda qəbul edilir</v>
      </c>
      <c r="C11" s="13" t="str">
        <f>'API Test Cases'!B11</f>
        <v>SC-002</v>
      </c>
      <c r="D11" s="13" t="str">
        <f>'API Test Cases'!M11</f>
        <v>Pass</v>
      </c>
      <c r="E11" s="16"/>
      <c r="F11" s="16"/>
      <c r="G11" s="16"/>
      <c r="H11" s="16"/>
      <c r="I11" s="16" t="s">
        <v>1817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</row>
    <row r="12" spans="1:110" ht="42" customHeight="1" x14ac:dyDescent="0.3">
      <c r="A12" s="13" t="str">
        <f>'API Test Cases'!A12</f>
        <v>TC_BEN_BVA_008</v>
      </c>
      <c r="B12" s="13" t="str">
        <f>'API Test Cases'!D12</f>
        <v>fullName 1 simvol (min − 1) olduqda 400 VALIDATION_ERROR qaytarılır</v>
      </c>
      <c r="C12" s="13" t="str">
        <f>'API Test Cases'!B12</f>
        <v>SC-002</v>
      </c>
      <c r="D12" s="13" t="str">
        <f>'API Test Cases'!M12</f>
        <v>Pass</v>
      </c>
      <c r="E12" s="16"/>
      <c r="F12" s="16"/>
      <c r="G12" s="16"/>
      <c r="H12" s="16"/>
      <c r="I12" s="16" t="s">
        <v>1817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</row>
    <row r="13" spans="1:110" ht="42" customHeight="1" x14ac:dyDescent="0.3">
      <c r="A13" s="13" t="str">
        <f>'API Test Cases'!A13</f>
        <v>TC_BEN_BVA_009</v>
      </c>
      <c r="B13" s="13" t="str">
        <f>'API Test Cases'!D13</f>
        <v>fullName 51 simvol (max + 1) olduqda 400 VALIDATION_ERROR qaytarılır</v>
      </c>
      <c r="C13" s="13" t="str">
        <f>'API Test Cases'!B13</f>
        <v>SC-002</v>
      </c>
      <c r="D13" s="13" t="str">
        <f>'API Test Cases'!M13</f>
        <v>Pass</v>
      </c>
      <c r="E13" s="16"/>
      <c r="F13" s="16"/>
      <c r="G13" s="16"/>
      <c r="H13" s="16"/>
      <c r="I13" s="16" t="s">
        <v>1817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</row>
    <row r="14" spans="1:110" ht="42" customHeight="1" x14ac:dyDescent="0.3">
      <c r="A14" s="13" t="str">
        <f>'API Test Cases'!A14</f>
        <v>TC_BEN_BVA_010</v>
      </c>
      <c r="B14" s="13" t="str">
        <f>'API Test Cases'!D14</f>
        <v>fullName trim-dən sonra 1 simvol qaldıqda (" A ") 400 VALIDATION_ERROR qaytarılır</v>
      </c>
      <c r="C14" s="13" t="str">
        <f>'API Test Cases'!B14</f>
        <v>SC-002</v>
      </c>
      <c r="D14" s="13" t="str">
        <f>'API Test Cases'!M14</f>
        <v>Pass</v>
      </c>
      <c r="E14" s="16"/>
      <c r="F14" s="16"/>
      <c r="G14" s="16"/>
      <c r="H14" s="16"/>
      <c r="I14" s="16" t="s">
        <v>1817</v>
      </c>
      <c r="J14" s="16"/>
      <c r="K14" s="16"/>
      <c r="L14" s="16"/>
      <c r="M14" s="16"/>
      <c r="N14" s="16"/>
      <c r="O14" s="16" t="s">
        <v>1817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</row>
    <row r="15" spans="1:110" ht="42" customHeight="1" x14ac:dyDescent="0.3">
      <c r="A15" s="13" t="str">
        <f>'API Test Cases'!A15</f>
        <v>TC_BEN_POS_011</v>
      </c>
      <c r="B15" s="13" t="str">
        <f>'API Test Cases'!D15</f>
        <v>fullName Azərbaycan hərfləri, boşluq, defis və apostrof olduqda qəbul edilir</v>
      </c>
      <c r="C15" s="13" t="str">
        <f>'API Test Cases'!B15</f>
        <v>SC-002</v>
      </c>
      <c r="D15" s="13" t="str">
        <f>'API Test Cases'!M15</f>
        <v>Pass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 t="s">
        <v>1817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</row>
    <row r="16" spans="1:110" ht="42" customHeight="1" x14ac:dyDescent="0.3">
      <c r="A16" s="13" t="str">
        <f>'API Test Cases'!A16</f>
        <v>TC_BEN_NEG_012</v>
      </c>
      <c r="B16" s="13" t="str">
        <f>'API Test Cases'!D16</f>
        <v>fullName hərflə başlamadıqda ("---") 400 VALIDATION_ERROR qaytarılır</v>
      </c>
      <c r="C16" s="13" t="str">
        <f>'API Test Cases'!B16</f>
        <v>SC-002</v>
      </c>
      <c r="D16" s="13" t="str">
        <f>'API Test Cases'!M16</f>
        <v>Pass</v>
      </c>
      <c r="E16" s="16"/>
      <c r="F16" s="16"/>
      <c r="G16" s="16"/>
      <c r="H16" s="16"/>
      <c r="I16" s="16"/>
      <c r="J16" s="16" t="s">
        <v>1817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</row>
    <row r="17" spans="1:110" ht="42" customHeight="1" x14ac:dyDescent="0.3">
      <c r="A17" s="13" t="str">
        <f>'API Test Cases'!A17</f>
        <v>TC_BEN_NEG_013</v>
      </c>
      <c r="B17" s="13" t="str">
        <f>'API Test Cases'!D17</f>
        <v>fullName rəqəm olduqda ("Ali2") 400 VALIDATION_ERROR qaytarılır</v>
      </c>
      <c r="C17" s="13" t="str">
        <f>'API Test Cases'!B17</f>
        <v>SC-002</v>
      </c>
      <c r="D17" s="13" t="str">
        <f>'API Test Cases'!M17</f>
        <v>Pass</v>
      </c>
      <c r="E17" s="16"/>
      <c r="F17" s="16"/>
      <c r="G17" s="16"/>
      <c r="H17" s="16"/>
      <c r="I17" s="16"/>
      <c r="J17" s="16" t="s">
        <v>1817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</row>
    <row r="18" spans="1:110" ht="42" customHeight="1" x14ac:dyDescent="0.3">
      <c r="A18" s="13" t="str">
        <f>'API Test Cases'!A18</f>
        <v>TC_BEN_NEG_014</v>
      </c>
      <c r="B18" s="13" t="str">
        <f>'API Test Cases'!D18</f>
        <v>fullName icazəsiz xüsusi simvol olduqda ("Ali@") 400 VALIDATION_ERROR qaytarılır</v>
      </c>
      <c r="C18" s="13" t="str">
        <f>'API Test Cases'!B18</f>
        <v>SC-002</v>
      </c>
      <c r="D18" s="13" t="str">
        <f>'API Test Cases'!M18</f>
        <v>Pass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 t="s">
        <v>1817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</row>
    <row r="19" spans="1:110" ht="42" customHeight="1" x14ac:dyDescent="0.3">
      <c r="A19" s="13" t="str">
        <f>'API Test Cases'!A19</f>
        <v>TC_BEN_NEG_015</v>
      </c>
      <c r="B19" s="13" t="str">
        <f>'API Test Cases'!D19</f>
        <v>fullName göndərilmədikdə (məcburi sahə yoxdur) 400 VALIDATION_ERROR qaytarılır</v>
      </c>
      <c r="C19" s="13" t="str">
        <f>'API Test Cases'!B19</f>
        <v>SC-002</v>
      </c>
      <c r="D19" s="13" t="str">
        <f>'API Test Cases'!M19</f>
        <v>Pass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 t="s">
        <v>1817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</row>
    <row r="20" spans="1:110" ht="42" customHeight="1" x14ac:dyDescent="0.3">
      <c r="A20" s="13" t="str">
        <f>'API Test Cases'!A20</f>
        <v>TC_BEN_BVA_016</v>
      </c>
      <c r="B20" s="13" t="str">
        <f>'API Test Cases'!D20</f>
        <v>IBAN 27 simvol (28 − 1) olduqda 400 VALIDATION_ERROR qaytarılır</v>
      </c>
      <c r="C20" s="13" t="str">
        <f>'API Test Cases'!B20</f>
        <v>SC-003</v>
      </c>
      <c r="D20" s="13" t="str">
        <f>'API Test Cases'!M20</f>
        <v>Pass</v>
      </c>
      <c r="E20" s="16"/>
      <c r="F20" s="16"/>
      <c r="G20" s="16"/>
      <c r="H20" s="16" t="s">
        <v>1817</v>
      </c>
      <c r="I20" s="16"/>
      <c r="J20" s="16"/>
      <c r="K20" s="16"/>
      <c r="L20" s="16"/>
      <c r="M20" s="16"/>
      <c r="N20" s="16"/>
      <c r="O20" s="16" t="s">
        <v>1817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</row>
    <row r="21" spans="1:110" ht="42" customHeight="1" x14ac:dyDescent="0.3">
      <c r="A21" s="13" t="str">
        <f>'API Test Cases'!A21</f>
        <v>TC_BEN_BVA_017</v>
      </c>
      <c r="B21" s="13" t="str">
        <f>'API Test Cases'!D21</f>
        <v>IBAN 29 simvol (28 + 1) olduqda 400 VALIDATION_ERROR qaytarılır</v>
      </c>
      <c r="C21" s="13" t="str">
        <f>'API Test Cases'!B21</f>
        <v>SC-003</v>
      </c>
      <c r="D21" s="13" t="str">
        <f>'API Test Cases'!M21</f>
        <v>Pass</v>
      </c>
      <c r="E21" s="16"/>
      <c r="F21" s="16"/>
      <c r="G21" s="16"/>
      <c r="H21" s="16" t="s">
        <v>1817</v>
      </c>
      <c r="I21" s="16"/>
      <c r="J21" s="16"/>
      <c r="K21" s="16"/>
      <c r="L21" s="16"/>
      <c r="M21" s="16"/>
      <c r="N21" s="16"/>
      <c r="O21" s="16" t="s">
        <v>1817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</row>
    <row r="22" spans="1:110" ht="42" customHeight="1" x14ac:dyDescent="0.3">
      <c r="A22" s="13" t="str">
        <f>'API Test Cases'!A22</f>
        <v>TC_BEN_NEG_018</v>
      </c>
      <c r="B22" s="13" t="str">
        <f>'API Test Cases'!D22</f>
        <v>IBAN 'AZ' ilə başlamadıqda (TR, 28 simvol) 400 VALIDATION_ERROR qaytarılır</v>
      </c>
      <c r="C22" s="13" t="str">
        <f>'API Test Cases'!B22</f>
        <v>SC-003</v>
      </c>
      <c r="D22" s="13" t="str">
        <f>'API Test Cases'!M22</f>
        <v>Pass</v>
      </c>
      <c r="E22" s="16"/>
      <c r="F22" s="16"/>
      <c r="G22" s="16"/>
      <c r="H22" s="16" t="s">
        <v>1817</v>
      </c>
      <c r="I22" s="16"/>
      <c r="J22" s="16"/>
      <c r="K22" s="16"/>
      <c r="L22" s="16"/>
      <c r="M22" s="16"/>
      <c r="N22" s="16"/>
      <c r="O22" s="16" t="s">
        <v>1817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</row>
    <row r="23" spans="1:110" ht="42" customHeight="1" x14ac:dyDescent="0.3">
      <c r="A23" s="13" t="str">
        <f>'API Test Cases'!A23</f>
        <v>TC_BEN_NEG_019</v>
      </c>
      <c r="B23" s="13" t="str">
        <f>'API Test Cases'!D23</f>
        <v>IBAN-da bank kodu (5–8-ci simvollar) hərf əvəzinə rəqəm olduqda 400 VALIDATION_ERROR qaytarılır</v>
      </c>
      <c r="C23" s="13" t="str">
        <f>'API Test Cases'!B23</f>
        <v>SC-003</v>
      </c>
      <c r="D23" s="13" t="str">
        <f>'API Test Cases'!M23</f>
        <v>Pass</v>
      </c>
      <c r="E23" s="16"/>
      <c r="F23" s="16"/>
      <c r="G23" s="16"/>
      <c r="H23" s="16" t="s">
        <v>1817</v>
      </c>
      <c r="I23" s="16"/>
      <c r="J23" s="16"/>
      <c r="K23" s="16"/>
      <c r="L23" s="16"/>
      <c r="M23" s="16"/>
      <c r="N23" s="16"/>
      <c r="O23" s="16" t="s">
        <v>1817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</row>
    <row r="24" spans="1:110" ht="42" customHeight="1" x14ac:dyDescent="0.3">
      <c r="A24" s="13" t="str">
        <f>'API Test Cases'!A24</f>
        <v>TC_BEN_NEG_020</v>
      </c>
      <c r="B24" s="13" t="str">
        <f>'API Test Cases'!D24</f>
        <v>IBAN-da icazəsiz simvol ('#') olduqda 400 VALIDATION_ERROR qaytarılır</v>
      </c>
      <c r="C24" s="13" t="str">
        <f>'API Test Cases'!B24</f>
        <v>SC-003</v>
      </c>
      <c r="D24" s="13" t="str">
        <f>'API Test Cases'!M24</f>
        <v>Pass</v>
      </c>
      <c r="E24" s="16"/>
      <c r="F24" s="16"/>
      <c r="G24" s="16"/>
      <c r="H24" s="16" t="s">
        <v>1817</v>
      </c>
      <c r="I24" s="16"/>
      <c r="J24" s="16"/>
      <c r="K24" s="16"/>
      <c r="L24" s="16"/>
      <c r="M24" s="16"/>
      <c r="N24" s="16"/>
      <c r="O24" s="16" t="s">
        <v>1817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</row>
    <row r="25" spans="1:110" ht="42" customHeight="1" x14ac:dyDescent="0.3">
      <c r="A25" s="13" t="str">
        <f>'API Test Cases'!A25</f>
        <v>TC_BEN_NEG_021</v>
      </c>
      <c r="B25" s="13" t="str">
        <f>'API Test Cases'!D25</f>
        <v>currency icazəli siyahıda olmadıqda ("GBP") 400 VALIDATION_ERROR qaytarılır</v>
      </c>
      <c r="C25" s="13" t="str">
        <f>'API Test Cases'!B25</f>
        <v>SC-004</v>
      </c>
      <c r="D25" s="13" t="str">
        <f>'API Test Cases'!M25</f>
        <v>Pass</v>
      </c>
      <c r="E25" s="16"/>
      <c r="F25" s="16"/>
      <c r="G25" s="16"/>
      <c r="H25" s="16" t="s">
        <v>1817</v>
      </c>
      <c r="I25" s="16"/>
      <c r="J25" s="16"/>
      <c r="K25" s="16"/>
      <c r="L25" s="16"/>
      <c r="M25" s="16"/>
      <c r="N25" s="16"/>
      <c r="O25" s="16" t="s">
        <v>1817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</row>
    <row r="26" spans="1:110" ht="42" customHeight="1" x14ac:dyDescent="0.3">
      <c r="A26" s="13" t="str">
        <f>'API Test Cases'!A26</f>
        <v>TC_BEN_NEG_022</v>
      </c>
      <c r="B26" s="13" t="str">
        <f>'API Test Cases'!D26</f>
        <v>currency kiçik hərflə ("azn") göndərildikdə 400 VALIDATION_ERROR qaytarılır</v>
      </c>
      <c r="C26" s="13" t="str">
        <f>'API Test Cases'!B26</f>
        <v>SC-004</v>
      </c>
      <c r="D26" s="13" t="str">
        <f>'API Test Cases'!M26</f>
        <v>Pass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 t="s">
        <v>1817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</row>
    <row r="27" spans="1:110" ht="42" customHeight="1" x14ac:dyDescent="0.3">
      <c r="A27" s="13" t="str">
        <f>'API Test Cases'!A27</f>
        <v>TC_BEN_BVA_023</v>
      </c>
      <c r="B27" s="13" t="str">
        <f>'API Test Cases'!D27</f>
        <v>nickname 20 simvol (yuxarı sərhəd) olduqda qəbul edilir</v>
      </c>
      <c r="C27" s="13" t="str">
        <f>'API Test Cases'!B27</f>
        <v>SC-004</v>
      </c>
      <c r="D27" s="13" t="str">
        <f>'API Test Cases'!M27</f>
        <v>Pass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 t="s">
        <v>1817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</row>
    <row r="28" spans="1:110" ht="42" customHeight="1" x14ac:dyDescent="0.3">
      <c r="A28" s="13" t="str">
        <f>'API Test Cases'!A28</f>
        <v>TC_BEN_BVA_024</v>
      </c>
      <c r="B28" s="13" t="str">
        <f>'API Test Cases'!D28</f>
        <v>nickname 21 simvol (max + 1) olduqda 400 VALIDATION_ERROR qaytarılır</v>
      </c>
      <c r="C28" s="13" t="str">
        <f>'API Test Cases'!B28</f>
        <v>SC-004</v>
      </c>
      <c r="D28" s="13" t="str">
        <f>'API Test Cases'!M28</f>
        <v>Pass</v>
      </c>
      <c r="E28" s="16"/>
      <c r="F28" s="16"/>
      <c r="G28" s="16"/>
      <c r="H28" s="16" t="s">
        <v>1817</v>
      </c>
      <c r="I28" s="16"/>
      <c r="J28" s="16"/>
      <c r="K28" s="16"/>
      <c r="L28" s="16"/>
      <c r="M28" s="16"/>
      <c r="N28" s="16"/>
      <c r="O28" s="16" t="s">
        <v>1817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</row>
    <row r="29" spans="1:110" ht="42" customHeight="1" x14ac:dyDescent="0.3">
      <c r="A29" s="13" t="str">
        <f>'API Test Cases'!A29</f>
        <v>TC_BEN_BVA_025</v>
      </c>
      <c r="B29" s="13" t="str">
        <f>'API Test Cases'!D29</f>
        <v>nickname boş string ("", 0 simvol = min − 1) olduqda 400 VALIDATION_ERROR qaytarılır</v>
      </c>
      <c r="C29" s="13" t="str">
        <f>'API Test Cases'!B29</f>
        <v>SC-004</v>
      </c>
      <c r="D29" s="13" t="str">
        <f>'API Test Cases'!M29</f>
        <v>Pass</v>
      </c>
      <c r="E29" s="16"/>
      <c r="F29" s="16"/>
      <c r="G29" s="16"/>
      <c r="H29" s="16" t="s">
        <v>1817</v>
      </c>
      <c r="I29" s="16"/>
      <c r="J29" s="16"/>
      <c r="K29" s="16"/>
      <c r="L29" s="16"/>
      <c r="M29" s="16"/>
      <c r="N29" s="16"/>
      <c r="O29" s="16" t="s">
        <v>1817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</row>
    <row r="30" spans="1:110" ht="42" customHeight="1" x14ac:dyDescent="0.3">
      <c r="A30" s="13" t="str">
        <f>'API Test Cases'!A30</f>
        <v>TC_BEN_NEG_026</v>
      </c>
      <c r="B30" s="13" t="str">
        <f>'API Test Cases'!D30</f>
        <v>Üç sahə eyni anda səhv olduqda details-də hər səhv sahə ayrıca qaytarılır</v>
      </c>
      <c r="C30" s="13" t="str">
        <f>'API Test Cases'!B30</f>
        <v>SC-004</v>
      </c>
      <c r="D30" s="13" t="str">
        <f>'API Test Cases'!M30</f>
        <v>Pass</v>
      </c>
      <c r="E30" s="16"/>
      <c r="F30" s="16"/>
      <c r="G30" s="16"/>
      <c r="H30" s="16" t="s">
        <v>1817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</row>
    <row r="31" spans="1:110" ht="42" customHeight="1" x14ac:dyDescent="0.3">
      <c r="A31" s="13" t="str">
        <f>'API Test Cases'!A31</f>
        <v>TC_BEN_NEG_027</v>
      </c>
      <c r="B31" s="13" t="str">
        <f>'API Test Cases'!D31</f>
        <v>Authorization header olmadıqda və ya saxta token göndərildikdə 401 qaytarılır</v>
      </c>
      <c r="C31" s="13" t="str">
        <f>'API Test Cases'!B31</f>
        <v>SC-005</v>
      </c>
      <c r="D31" s="13" t="str">
        <f>'API Test Cases'!M31</f>
        <v>Pass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 t="s">
        <v>1817</v>
      </c>
      <c r="Q31" s="16"/>
      <c r="R31" s="16" t="s">
        <v>1817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</row>
    <row r="32" spans="1:110" ht="42" customHeight="1" x14ac:dyDescent="0.3">
      <c r="A32" s="13" t="str">
        <f>'API Test Cases'!A32</f>
        <v>TC_BEN_NEG_028</v>
      </c>
      <c r="B32" s="13" t="str">
        <f>'API Test Cases'!D32</f>
        <v>Body sintaktik cəhətdən etibarsız JSON olduqda 400 INVALID_JSON qaytarılır</v>
      </c>
      <c r="C32" s="13" t="str">
        <f>'API Test Cases'!B32</f>
        <v>SC-005</v>
      </c>
      <c r="D32" s="13" t="str">
        <f>'API Test Cases'!M32</f>
        <v>Pass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 t="s">
        <v>1817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</row>
    <row r="33" spans="1:110" ht="42" customHeight="1" x14ac:dyDescent="0.3">
      <c r="A33" s="13" t="str">
        <f>'API Test Cases'!A33</f>
        <v>TC_BEN_NEG_029</v>
      </c>
      <c r="B33" s="13" t="str">
        <f>'API Test Cases'!D33</f>
        <v>Body JSON obyekti deyil, massiv olduqda 400 INVALID_JSON qaytarılır</v>
      </c>
      <c r="C33" s="13" t="str">
        <f>'API Test Cases'!B33</f>
        <v>SC-005</v>
      </c>
      <c r="D33" s="13" t="str">
        <f>'API Test Cases'!M33</f>
        <v>Pass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 t="s">
        <v>1817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</row>
    <row r="34" spans="1:110" ht="42" customHeight="1" x14ac:dyDescent="0.3">
      <c r="A34" s="13" t="str">
        <f>'API Test Cases'!A34</f>
        <v>TC_BEN_EDGE_030</v>
      </c>
      <c r="B34" s="13" t="str">
        <f>'API Test Cases'!D34</f>
        <v>Öz IBAN-ı ilə birlikdə fullName də səhv olduqda 400 VALIDATION_ERROR qaytarılır (422 OWN_ACCOUNT deyil)</v>
      </c>
      <c r="C34" s="13" t="str">
        <f>'API Test Cases'!B34</f>
        <v>SC-005</v>
      </c>
      <c r="D34" s="13" t="str">
        <f>'API Test Cases'!M34</f>
        <v>Pass</v>
      </c>
      <c r="E34" s="16"/>
      <c r="F34" s="16"/>
      <c r="G34" s="16"/>
      <c r="H34" s="16"/>
      <c r="I34" s="16"/>
      <c r="J34" s="16"/>
      <c r="K34" s="16"/>
      <c r="L34" s="16"/>
      <c r="M34" s="16" t="s">
        <v>1817</v>
      </c>
      <c r="N34" s="16"/>
      <c r="O34" s="16"/>
      <c r="P34" s="16"/>
      <c r="Q34" s="16" t="s">
        <v>1817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</row>
    <row r="35" spans="1:110" ht="42" customHeight="1" x14ac:dyDescent="0.3">
      <c r="A35" s="13" t="str">
        <f>'API Test Cases'!A35</f>
        <v>TC_BEN_EDGE_031</v>
      </c>
      <c r="B35" s="13" t="str">
        <f>'API Test Cases'!D35</f>
        <v>Həm IBAN, həm də ləqəb artıq mövcud olduqda 409 BENEFICIARY_EXISTS qaytarılır (NICKNAME_TAKEN deyil)</v>
      </c>
      <c r="C35" s="13" t="str">
        <f>'API Test Cases'!B35</f>
        <v>SC-005</v>
      </c>
      <c r="D35" s="13" t="str">
        <f>'API Test Cases'!M35</f>
        <v>Pass</v>
      </c>
      <c r="E35" s="16"/>
      <c r="F35" s="16"/>
      <c r="G35" s="16"/>
      <c r="H35" s="16"/>
      <c r="I35" s="16"/>
      <c r="J35" s="16"/>
      <c r="K35" s="16" t="s">
        <v>1817</v>
      </c>
      <c r="L35" s="16" t="s">
        <v>1817</v>
      </c>
      <c r="M35" s="16"/>
      <c r="N35" s="16"/>
      <c r="O35" s="16"/>
      <c r="P35" s="16"/>
      <c r="Q35" s="16" t="s">
        <v>1817</v>
      </c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</row>
    <row r="36" spans="1:110" ht="42" customHeight="1" x14ac:dyDescent="0.3">
      <c r="A36" s="13" t="str">
        <f>'API Test Cases'!A36</f>
        <v>TC_BEN_EDGE_032</v>
      </c>
      <c r="B36" s="13" t="str">
        <f>'API Test Cases'!D36</f>
        <v>Token olmadıqda və body etibarsız JSON olduqda 401 qaytarılır (400 INVALID_JSON deyil)</v>
      </c>
      <c r="C36" s="13" t="str">
        <f>'API Test Cases'!B36</f>
        <v>SC-005</v>
      </c>
      <c r="D36" s="13" t="str">
        <f>'API Test Cases'!M36</f>
        <v>Pass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 t="s">
        <v>1817</v>
      </c>
      <c r="Q36" s="16" t="s">
        <v>1817</v>
      </c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</row>
    <row r="37" spans="1:110" ht="42" customHeight="1" x14ac:dyDescent="0.3">
      <c r="A37" s="13" t="str">
        <f>'API Test Cases'!A37</f>
        <v>TC_BEN_NEG_033</v>
      </c>
      <c r="B37" s="13" t="str">
        <f>'API Test Cases'!D37</f>
        <v>Eyni IBAN ikinci dəfə göndərildikdə 409 BENEFICIARY_EXISTS qaytarılır</v>
      </c>
      <c r="C37" s="13" t="str">
        <f>'API Test Cases'!B37</f>
        <v>SC-006</v>
      </c>
      <c r="D37" s="13" t="str">
        <f>'API Test Cases'!M37</f>
        <v>Pass</v>
      </c>
      <c r="E37" s="16"/>
      <c r="F37" s="16"/>
      <c r="G37" s="16"/>
      <c r="H37" s="16"/>
      <c r="I37" s="16"/>
      <c r="J37" s="16"/>
      <c r="K37" s="16" t="s">
        <v>1817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</row>
    <row r="38" spans="1:110" ht="42" customHeight="1" x14ac:dyDescent="0.3">
      <c r="A38" s="13" t="str">
        <f>'API Test Cases'!A38</f>
        <v>TC_BEN_NEG_034</v>
      </c>
      <c r="B38" s="13" t="str">
        <f>'API Test Cases'!D38</f>
        <v>Mövcud IBAN boşluqlu və kiçik hərflə yenidən göndərildikdə 409 BENEFICIARY_EXISTS qaytarılır</v>
      </c>
      <c r="C38" s="13" t="str">
        <f>'API Test Cases'!B38</f>
        <v>SC-006</v>
      </c>
      <c r="D38" s="13" t="str">
        <f>'API Test Cases'!M38</f>
        <v>Pass</v>
      </c>
      <c r="E38" s="16"/>
      <c r="F38" s="16" t="s">
        <v>1817</v>
      </c>
      <c r="G38" s="16"/>
      <c r="H38" s="16"/>
      <c r="I38" s="16"/>
      <c r="J38" s="16"/>
      <c r="K38" s="16" t="s">
        <v>1817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</row>
    <row r="39" spans="1:110" ht="42" customHeight="1" x14ac:dyDescent="0.3">
      <c r="A39" s="13" t="str">
        <f>'API Test Cases'!A39</f>
        <v>TC_BEN_NEG_035</v>
      </c>
      <c r="B39" s="13" t="str">
        <f>'API Test Cases'!D39</f>
        <v>Mövcud ləqəb fərqli registrdə ("anam" → "ANAM") göndərildikdə 409 NICKNAME_TAKEN qaytarılır</v>
      </c>
      <c r="C39" s="13" t="str">
        <f>'API Test Cases'!B39</f>
        <v>SC-006</v>
      </c>
      <c r="D39" s="13" t="str">
        <f>'API Test Cases'!M39</f>
        <v>Pass</v>
      </c>
      <c r="E39" s="16"/>
      <c r="F39" s="16"/>
      <c r="G39" s="16"/>
      <c r="H39" s="16"/>
      <c r="I39" s="16"/>
      <c r="J39" s="16"/>
      <c r="K39" s="16"/>
      <c r="L39" s="16" t="s">
        <v>1817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</row>
    <row r="40" spans="1:110" ht="42" customHeight="1" x14ac:dyDescent="0.3">
      <c r="A40" s="13" t="str">
        <f>'API Test Cases'!A40</f>
        <v>TC_BEN_NEG_036</v>
      </c>
      <c r="B40" s="13" t="str">
        <f>'API Test Cases'!D40</f>
        <v>user1 öz hesabının IBAN-ını göndərdikdə 422 OWN_ACCOUNT qaytarılır</v>
      </c>
      <c r="C40" s="13" t="str">
        <f>'API Test Cases'!B40</f>
        <v>SC-006</v>
      </c>
      <c r="D40" s="13" t="str">
        <f>'API Test Cases'!M40</f>
        <v>Pass</v>
      </c>
      <c r="E40" s="16"/>
      <c r="F40" s="16"/>
      <c r="G40" s="16"/>
      <c r="H40" s="16"/>
      <c r="I40" s="16"/>
      <c r="J40" s="16"/>
      <c r="K40" s="16"/>
      <c r="L40" s="16"/>
      <c r="M40" s="16" t="s">
        <v>1817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</row>
    <row r="41" spans="1:110" ht="42" customHeight="1" x14ac:dyDescent="0.3">
      <c r="A41" s="13" t="str">
        <f>'API Test Cases'!A41</f>
        <v>TC_BEN_NEG_037</v>
      </c>
      <c r="B41" s="13" t="str">
        <f>'API Test Cases'!D41</f>
        <v>Öz IBAN-ı boşluqlu və kiçik hərflə göndərildikdə də 422 OWN_ACCOUNT qaytarılır</v>
      </c>
      <c r="C41" s="13" t="str">
        <f>'API Test Cases'!B41</f>
        <v>SC-006</v>
      </c>
      <c r="D41" s="13" t="str">
        <f>'API Test Cases'!M41</f>
        <v>Pass</v>
      </c>
      <c r="E41" s="16"/>
      <c r="F41" s="16" t="s">
        <v>1817</v>
      </c>
      <c r="G41" s="16"/>
      <c r="H41" s="16"/>
      <c r="I41" s="16"/>
      <c r="J41" s="16"/>
      <c r="K41" s="16"/>
      <c r="L41" s="16"/>
      <c r="M41" s="16" t="s">
        <v>1817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</row>
    <row r="42" spans="1:110" ht="42" customHeight="1" x14ac:dyDescent="0.3">
      <c r="A42" s="13" t="str">
        <f>'API Test Cases'!A42</f>
        <v>TC_BEN_POS_038</v>
      </c>
      <c r="B42" s="13" t="str">
        <f>'API Test Cases'!D42</f>
        <v>user1 başqa istifadəçinin (admin) hesab IBAN-ını əlavə etdikdə alıcı yaradılır</v>
      </c>
      <c r="C42" s="13" t="str">
        <f>'API Test Cases'!B42</f>
        <v>SC-006</v>
      </c>
      <c r="D42" s="13" t="str">
        <f>'API Test Cases'!M42</f>
        <v>Pass</v>
      </c>
      <c r="E42" s="16"/>
      <c r="F42" s="16"/>
      <c r="G42" s="16"/>
      <c r="H42" s="16"/>
      <c r="I42" s="16"/>
      <c r="J42" s="16"/>
      <c r="K42" s="16"/>
      <c r="L42" s="16"/>
      <c r="M42" s="16" t="s">
        <v>1817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</row>
    <row r="43" spans="1:110" ht="42" customHeight="1" x14ac:dyDescent="0.3">
      <c r="A43" s="13" t="str">
        <f>'API Test Cases'!A43</f>
        <v>TC_BEN_EDGE_039</v>
      </c>
      <c r="B43" s="13" t="str">
        <f>'API Test Cases'!D43</f>
        <v>user1-in siyahısında olan IBAN-ı user2 öz siyahısına əlavə edə bilir (təkrar yoxlaması istifadəçi üzrədir)</v>
      </c>
      <c r="C43" s="13" t="str">
        <f>'API Test Cases'!B43</f>
        <v>SC-006</v>
      </c>
      <c r="D43" s="13" t="str">
        <f>'API Test Cases'!M43</f>
        <v>Pass</v>
      </c>
      <c r="E43" s="16"/>
      <c r="F43" s="16"/>
      <c r="G43" s="16"/>
      <c r="H43" s="16"/>
      <c r="I43" s="16"/>
      <c r="J43" s="16"/>
      <c r="K43" s="16" t="s">
        <v>1817</v>
      </c>
      <c r="L43" s="16"/>
      <c r="M43" s="16"/>
      <c r="N43" s="16"/>
      <c r="O43" s="16"/>
      <c r="P43" s="16"/>
      <c r="Q43" s="16"/>
      <c r="R43" s="16" t="s">
        <v>1817</v>
      </c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</row>
    <row r="44" spans="1:110" ht="42" customHeight="1" x14ac:dyDescent="0.3">
      <c r="A44" s="13" t="str">
        <f>'API Test Cases'!A44</f>
        <v>TC_BEN_BVA_040</v>
      </c>
      <c r="B44" s="13" t="str">
        <f>'API Test Cases'!D44</f>
        <v>Siyahıda 10 alıcı olduqda 11-ci alıcı üçün 422 LIMIT_REACHED və "limit": 10 qaytarılır</v>
      </c>
      <c r="C44" s="13" t="str">
        <f>'API Test Cases'!B44</f>
        <v>SC-006</v>
      </c>
      <c r="D44" s="13" t="str">
        <f>'API Test Cases'!M44</f>
        <v>Pass</v>
      </c>
      <c r="E44" s="16"/>
      <c r="F44" s="16"/>
      <c r="G44" s="16"/>
      <c r="H44" s="16"/>
      <c r="I44" s="16"/>
      <c r="J44" s="16"/>
      <c r="K44" s="16"/>
      <c r="L44" s="16"/>
      <c r="M44" s="16"/>
      <c r="N44" s="16" t="s">
        <v>1817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</row>
    <row r="45" spans="1:110" ht="42" customHeight="1" x14ac:dyDescent="0.3">
      <c r="A45" s="13" t="str">
        <f>'API Test Cases'!A45</f>
        <v>TC_BEN_EDGE_041</v>
      </c>
      <c r="B45" s="13" t="str">
        <f>'API Test Cases'!D45</f>
        <v>Siyahı dolu (10) olduqda mövcud IBAN göndərildikdə 409 BENEFICIARY_EXISTS qaytarılır (LIMIT_REACHED deyil)</v>
      </c>
      <c r="C45" s="13" t="str">
        <f>'API Test Cases'!B45</f>
        <v>SC-006</v>
      </c>
      <c r="D45" s="13" t="str">
        <f>'API Test Cases'!M45</f>
        <v>Pass</v>
      </c>
      <c r="E45" s="16"/>
      <c r="F45" s="16"/>
      <c r="G45" s="16"/>
      <c r="H45" s="16"/>
      <c r="I45" s="16"/>
      <c r="J45" s="16"/>
      <c r="K45" s="16" t="s">
        <v>1817</v>
      </c>
      <c r="L45" s="16"/>
      <c r="M45" s="16"/>
      <c r="N45" s="16" t="s">
        <v>1817</v>
      </c>
      <c r="O45" s="16"/>
      <c r="P45" s="16"/>
      <c r="Q45" s="16" t="s">
        <v>1817</v>
      </c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</row>
    <row r="46" spans="1:110" ht="42" customHeight="1" x14ac:dyDescent="0.3">
      <c r="A46" s="13" t="str">
        <f>'API Test Cases'!A46</f>
        <v>TC_BEN_POS_042</v>
      </c>
      <c r="B46" s="13" t="str">
        <f>'API Test Cases'!D46</f>
        <v>Parametrsiz sorğuda 200, total = items sayı və ən yeni əlavə edilən alıcı birinci qaytarılır</v>
      </c>
      <c r="C46" s="13" t="str">
        <f>'API Test Cases'!B46</f>
        <v>SC-007</v>
      </c>
      <c r="D46" s="13" t="str">
        <f>'API Test Cases'!M46</f>
        <v>Pass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 t="s">
        <v>1817</v>
      </c>
      <c r="T46" s="16"/>
      <c r="U46" s="16"/>
      <c r="V46" s="16"/>
      <c r="W46" s="16"/>
      <c r="X46" s="16"/>
      <c r="Y46" s="16"/>
      <c r="Z46" s="16" t="s">
        <v>1817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</row>
    <row r="47" spans="1:110" ht="42" customHeight="1" x14ac:dyDescent="0.3">
      <c r="A47" s="13" t="str">
        <f>'API Test Cases'!A47</f>
        <v>TC_BEN_POS_043</v>
      </c>
      <c r="B47" s="13" t="str">
        <f>'API Test Cases'!D47</f>
        <v>Siyahıdakı hər alıcı POST cavabındakı bütün sahələrlə qaytarılır</v>
      </c>
      <c r="C47" s="13" t="str">
        <f>'API Test Cases'!B47</f>
        <v>SC-007</v>
      </c>
      <c r="D47" s="13" t="str">
        <f>'API Test Cases'!M47</f>
        <v>Pass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 t="s">
        <v>1817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</row>
    <row r="48" spans="1:110" ht="42" customHeight="1" x14ac:dyDescent="0.3">
      <c r="A48" s="13" t="str">
        <f>'API Test Cases'!A48</f>
        <v>TC_BEN_POS_044</v>
      </c>
      <c r="B48" s="13" t="str">
        <f>'API Test Cases'!D48</f>
        <v>sort=fullName&amp;order=asc olduqda adlar Azərbaycan əlifbası sırası ilə düzülür (Ç, Ə, X, Q öz yerində)</v>
      </c>
      <c r="C48" s="13" t="str">
        <f>'API Test Cases'!B48</f>
        <v>SC-007</v>
      </c>
      <c r="D48" s="13" t="str">
        <f>'API Test Cases'!M48</f>
        <v>Pass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 t="s">
        <v>1817</v>
      </c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</row>
    <row r="49" spans="1:110" ht="42" customHeight="1" x14ac:dyDescent="0.3">
      <c r="A49" s="13" t="str">
        <f>'API Test Cases'!A49</f>
        <v>TC_BEN_POS_045</v>
      </c>
      <c r="B49" s="13" t="str">
        <f>'API Test Cases'!D49</f>
        <v>sort=fullName&amp;order=desc olduqda adlar Azərbaycan əlifbasının tərs sırası ilə düzülür</v>
      </c>
      <c r="C49" s="13" t="str">
        <f>'API Test Cases'!B49</f>
        <v>SC-007</v>
      </c>
      <c r="D49" s="13" t="str">
        <f>'API Test Cases'!M49</f>
        <v>Pass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 t="s">
        <v>1817</v>
      </c>
      <c r="U49" s="16"/>
      <c r="V49" s="16"/>
      <c r="W49" s="16"/>
      <c r="X49" s="16"/>
      <c r="Y49" s="16"/>
      <c r="Z49" s="16" t="s">
        <v>1817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</row>
    <row r="50" spans="1:110" ht="42" customHeight="1" x14ac:dyDescent="0.3">
      <c r="A50" s="13" t="str">
        <f>'API Test Cases'!A50</f>
        <v>TC_BEN_POS_046</v>
      </c>
      <c r="B50" s="13" t="str">
        <f>'API Test Cases'!D50</f>
        <v>sort=createdAt&amp;order=asc olduqda ən köhnə alıcı birinci qaytarılır</v>
      </c>
      <c r="C50" s="13" t="str">
        <f>'API Test Cases'!B50</f>
        <v>SC-007</v>
      </c>
      <c r="D50" s="13" t="str">
        <f>'API Test Cases'!M50</f>
        <v>Pass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 t="s">
        <v>1817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</row>
    <row r="51" spans="1:110" ht="42" customHeight="1" x14ac:dyDescent="0.3">
      <c r="A51" s="13" t="str">
        <f>'API Test Cases'!A51</f>
        <v>TC_BEN_POS_047</v>
      </c>
      <c r="B51" s="13" t="str">
        <f>'API Test Cases'!D51</f>
        <v>Yalnız order=asc göndərildikdə defolt sort=createdAt tətbiq olunur (ən köhnə birinci)</v>
      </c>
      <c r="C51" s="13" t="str">
        <f>'API Test Cases'!B51</f>
        <v>SC-007</v>
      </c>
      <c r="D51" s="13" t="str">
        <f>'API Test Cases'!M51</f>
        <v>Pass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 t="s">
        <v>1817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</row>
    <row r="52" spans="1:110" ht="42" customHeight="1" x14ac:dyDescent="0.3">
      <c r="A52" s="13" t="str">
        <f>'API Test Cases'!A52</f>
        <v>TC_BEN_POS_048</v>
      </c>
      <c r="B52" s="13" t="str">
        <f>'API Test Cases'!D52</f>
        <v>Yalnız sort=fullName göndərildikdə defolt order=desc tətbiq olunur</v>
      </c>
      <c r="C52" s="13" t="str">
        <f>'API Test Cases'!B52</f>
        <v>SC-007</v>
      </c>
      <c r="D52" s="13" t="str">
        <f>'API Test Cases'!M52</f>
        <v>Pass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 t="s">
        <v>1817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</row>
    <row r="53" spans="1:110" ht="42" customHeight="1" x14ac:dyDescent="0.3">
      <c r="A53" s="13" t="str">
        <f>'API Test Cases'!A53</f>
        <v>TC_BEN_POS_049</v>
      </c>
      <c r="B53" s="13" t="str">
        <f>'API Test Cases'!D53</f>
        <v>q=nig olduqda adında "nig" olan bütün alıcılar (registrdən asılı olmayaraq) qaytarılır</v>
      </c>
      <c r="C53" s="13" t="str">
        <f>'API Test Cases'!B53</f>
        <v>SC-008</v>
      </c>
      <c r="D53" s="13" t="str">
        <f>'API Test Cases'!M53</f>
        <v>Pass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 t="s">
        <v>1817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</row>
    <row r="54" spans="1:110" ht="42" customHeight="1" x14ac:dyDescent="0.3">
      <c r="A54" s="13" t="str">
        <f>'API Test Cases'!A54</f>
        <v>TC_BEN_POS_050</v>
      </c>
      <c r="B54" s="13" t="str">
        <f>'API Test Cases'!D54</f>
        <v>q=NİGAR (nöqtəli İ, böyük hərf) olduqda "Nigar" adlı alıcılar tapılır</v>
      </c>
      <c r="C54" s="13" t="str">
        <f>'API Test Cases'!B54</f>
        <v>SC-008</v>
      </c>
      <c r="D54" s="13" t="str">
        <f>'API Test Cases'!M54</f>
        <v>Pass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 t="s">
        <v>1817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</row>
    <row r="55" spans="1:110" ht="42" customHeight="1" x14ac:dyDescent="0.3">
      <c r="A55" s="13" t="str">
        <f>'API Test Cases'!A55</f>
        <v>TC_BEN_POS_051</v>
      </c>
      <c r="B55" s="13" t="str">
        <f>'API Test Cases'!D55</f>
        <v>q=NIGAR (nöqtəsiz I) olduqda da "Nigar" adlı alıcılar tapılır</v>
      </c>
      <c r="C55" s="13" t="str">
        <f>'API Test Cases'!B55</f>
        <v>SC-008</v>
      </c>
      <c r="D55" s="13" t="str">
        <f>'API Test Cases'!M55</f>
        <v>Pass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 t="s">
        <v>1817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</row>
    <row r="56" spans="1:110" ht="42" customHeight="1" x14ac:dyDescent="0.3">
      <c r="A56" s="13" t="str">
        <f>'API Test Cases'!A56</f>
        <v>TC_BEN_POS_052</v>
      </c>
      <c r="B56" s="13" t="str">
        <f>'API Test Cases'!D56</f>
        <v>q=ilkin (kiçik i) olduqda "İlkin Səfərov" tapılır</v>
      </c>
      <c r="C56" s="13" t="str">
        <f>'API Test Cases'!B56</f>
        <v>SC-008</v>
      </c>
      <c r="D56" s="13" t="str">
        <f>'API Test Cases'!M56</f>
        <v>Pass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 t="s">
        <v>1817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</row>
    <row r="57" spans="1:110" ht="42" customHeight="1" x14ac:dyDescent="0.3">
      <c r="A57" s="13" t="str">
        <f>'API Test Cases'!A57</f>
        <v>TC_BEN_POS_053</v>
      </c>
      <c r="B57" s="13" t="str">
        <f>'API Test Cases'!D57</f>
        <v>q=işıl (nöqtəli i) olduqda nöqtəsiz I ilə yazılmış "Işıl Kərimova" tapılır</v>
      </c>
      <c r="C57" s="13" t="str">
        <f>'API Test Cases'!B57</f>
        <v>SC-008</v>
      </c>
      <c r="D57" s="13" t="str">
        <f>'API Test Cases'!M57</f>
        <v>Pass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 t="s">
        <v>1817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</row>
    <row r="58" spans="1:110" ht="42" customHeight="1" x14ac:dyDescent="0.3">
      <c r="A58" s="13" t="str">
        <f>'API Test Cases'!A58</f>
        <v>TC_BEN_POS_054</v>
      </c>
      <c r="B58" s="13" t="str">
        <f>'API Test Cases'!D58</f>
        <v>q ləqəbin bir hissəsi olduqda ("müəl" → "Müəllim") alıcı ləqəbə görə tapılır</v>
      </c>
      <c r="C58" s="13" t="str">
        <f>'API Test Cases'!B58</f>
        <v>SC-008</v>
      </c>
      <c r="D58" s="13" t="str">
        <f>'API Test Cases'!M58</f>
        <v>Pass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 t="s">
        <v>1817</v>
      </c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</row>
    <row r="59" spans="1:110" ht="42" customHeight="1" x14ac:dyDescent="0.3">
      <c r="A59" s="13" t="str">
        <f>'API Test Cases'!A59</f>
        <v>TC_BEN_POS_055</v>
      </c>
      <c r="B59" s="13" t="str">
        <f>'API Test Cases'!D59</f>
        <v>Heç bir alıcıya uyğun gəlməyən q=zzz olduqda 200, total 0 və boş items qaytarılır</v>
      </c>
      <c r="C59" s="13" t="str">
        <f>'API Test Cases'!B59</f>
        <v>SC-008</v>
      </c>
      <c r="D59" s="13" t="str">
        <f>'API Test Cases'!M59</f>
        <v>Pass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 t="s">
        <v>1817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</row>
    <row r="60" spans="1:110" ht="42" customHeight="1" x14ac:dyDescent="0.3">
      <c r="A60" s="13" t="str">
        <f>'API Test Cases'!A60</f>
        <v>TC_BEN_BVA_056</v>
      </c>
      <c r="B60" s="13" t="str">
        <f>'API Test Cases'!D60</f>
        <v>q 2 simvol (minimum sərhəd, "ra") olduqda qəbul edilir və uyğun alıcı qaytarılır</v>
      </c>
      <c r="C60" s="13" t="str">
        <f>'API Test Cases'!B60</f>
        <v>SC-008</v>
      </c>
      <c r="D60" s="13" t="str">
        <f>'API Test Cases'!M60</f>
        <v>Pass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 t="s">
        <v>1817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</row>
    <row r="61" spans="1:110" ht="42" customHeight="1" x14ac:dyDescent="0.3">
      <c r="A61" s="13" t="str">
        <f>'API Test Cases'!A61</f>
        <v>TC_BEN_EDGE_057</v>
      </c>
      <c r="B61" s="13" t="str">
        <f>'API Test Cases'!D61</f>
        <v>q IBAN-ın hissəsi olduqda ("AZ10") nəticə qaytarılmır — axtarış yalnız ad və ləqəb üzrədir</v>
      </c>
      <c r="C61" s="13" t="str">
        <f>'API Test Cases'!B61</f>
        <v>SC-008</v>
      </c>
      <c r="D61" s="13" t="str">
        <f>'API Test Cases'!M61</f>
        <v>Pass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 t="s">
        <v>1817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</row>
    <row r="62" spans="1:110" ht="42" customHeight="1" x14ac:dyDescent="0.3">
      <c r="A62" s="13" t="str">
        <f>'API Test Cases'!A62</f>
        <v>TC_BEN_POS_058</v>
      </c>
      <c r="B62" s="13" t="str">
        <f>'API Test Cases'!D62</f>
        <v>currency=USD olduqda yalnız USD alıcılar qaytarılır və total onların sayına bərabərdir</v>
      </c>
      <c r="C62" s="13" t="str">
        <f>'API Test Cases'!B62</f>
        <v>SC-009</v>
      </c>
      <c r="D62" s="13" t="str">
        <f>'API Test Cases'!M62</f>
        <v>Pass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 t="s">
        <v>1817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</row>
    <row r="63" spans="1:110" ht="42" customHeight="1" x14ac:dyDescent="0.3">
      <c r="A63" s="13" t="str">
        <f>'API Test Cases'!A63</f>
        <v>TC_BEN_POS_059</v>
      </c>
      <c r="B63" s="13" t="str">
        <f>'API Test Cases'!D63</f>
        <v>q=nigar&amp;currency=USD birlikdə olduqda yalnız hər iki şərtə uyğun alıcı qaytarılır (AND)</v>
      </c>
      <c r="C63" s="13" t="str">
        <f>'API Test Cases'!B63</f>
        <v>SC-009</v>
      </c>
      <c r="D63" s="13" t="str">
        <f>'API Test Cases'!M63</f>
        <v>Pass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 t="s">
        <v>1817</v>
      </c>
      <c r="V63" s="16"/>
      <c r="W63" s="16"/>
      <c r="X63" s="16"/>
      <c r="Y63" s="16"/>
      <c r="Z63" s="16"/>
      <c r="AA63" s="16"/>
      <c r="AB63" s="16" t="s">
        <v>1817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</row>
    <row r="64" spans="1:110" ht="42" customHeight="1" x14ac:dyDescent="0.3">
      <c r="A64" s="13" t="str">
        <f>'API Test Cases'!A64</f>
        <v>TC_BEN_POS_060</v>
      </c>
      <c r="B64" s="13" t="str">
        <f>'API Test Cases'!D64</f>
        <v>currency=AZN&amp;sort=fullName&amp;order=asc olduqda AZN alıcılar əlifba sırası ilə qaytarılır (Işıl Nigar-dan əvvəl)</v>
      </c>
      <c r="C64" s="13" t="str">
        <f>'API Test Cases'!B64</f>
        <v>SC-009</v>
      </c>
      <c r="D64" s="13" t="str">
        <f>'API Test Cases'!M64</f>
        <v>Pass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 t="s">
        <v>1817</v>
      </c>
      <c r="U64" s="16"/>
      <c r="V64" s="16"/>
      <c r="W64" s="16"/>
      <c r="X64" s="16"/>
      <c r="Y64" s="16"/>
      <c r="Z64" s="16"/>
      <c r="AA64" s="16"/>
      <c r="AB64" s="16" t="s">
        <v>1817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</row>
    <row r="65" spans="1:110" ht="42" customHeight="1" x14ac:dyDescent="0.3">
      <c r="A65" s="13" t="str">
        <f>'API Test Cases'!A65</f>
        <v>TC_BEN_EDGE_061</v>
      </c>
      <c r="B65" s="13" t="str">
        <f>'API Test Cases'!D65</f>
        <v>user2 öz siyahısını istədikdə user1-in alıcıları görünmür</v>
      </c>
      <c r="C65" s="13" t="str">
        <f>'API Test Cases'!B65</f>
        <v>SC-009</v>
      </c>
      <c r="D65" s="13" t="str">
        <f>'API Test Cases'!M65</f>
        <v>Pass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 t="s">
        <v>1817</v>
      </c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</row>
    <row r="66" spans="1:110" ht="42" customHeight="1" x14ac:dyDescent="0.3">
      <c r="A66" s="13" t="str">
        <f>'API Test Cases'!A66</f>
        <v>TC_BEN_POS_062</v>
      </c>
      <c r="B66" s="13" t="str">
        <f>'API Test Cases'!D66</f>
        <v>Alıcı olmadıqda (boş siyahı) 200, total 0 və boş items qaytarılır</v>
      </c>
      <c r="C66" s="13" t="str">
        <f>'API Test Cases'!B66</f>
        <v>SC-010</v>
      </c>
      <c r="D66" s="13" t="str">
        <f>'API Test Cases'!M66</f>
        <v>Pass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 t="s">
        <v>1817</v>
      </c>
      <c r="T66" s="16"/>
      <c r="U66" s="16"/>
      <c r="V66" s="16"/>
      <c r="W66" s="16"/>
      <c r="X66" s="16"/>
      <c r="Y66" s="16" t="s">
        <v>1817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</row>
    <row r="67" spans="1:110" ht="42" customHeight="1" x14ac:dyDescent="0.3">
      <c r="A67" s="13" t="str">
        <f>'API Test Cases'!A67</f>
        <v>TC_BEN_BVA_063</v>
      </c>
      <c r="B67" s="13" t="str">
        <f>'API Test Cases'!D67</f>
        <v>q 1 simvol (min − 1) olduqda 400 VALIDATION_ERROR, field "q" qaytarılır</v>
      </c>
      <c r="C67" s="13" t="str">
        <f>'API Test Cases'!B67</f>
        <v>SC-010</v>
      </c>
      <c r="D67" s="13" t="str">
        <f>'API Test Cases'!M67</f>
        <v>Pass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 t="s">
        <v>1817</v>
      </c>
      <c r="Y67" s="16"/>
      <c r="Z67" s="16"/>
      <c r="AA67" s="16" t="s">
        <v>1817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</row>
    <row r="68" spans="1:110" ht="42" customHeight="1" x14ac:dyDescent="0.3">
      <c r="A68" s="13" t="str">
        <f>'API Test Cases'!A68</f>
        <v>TC_BEN_NEG_064</v>
      </c>
      <c r="B68" s="13" t="str">
        <f>'API Test Cases'!D68</f>
        <v>currency icazəli siyahıda olmadıqda ("GBP") 400 VALIDATION_ERROR qaytarılır</v>
      </c>
      <c r="C68" s="13" t="str">
        <f>'API Test Cases'!B68</f>
        <v>SC-010</v>
      </c>
      <c r="D68" s="13" t="str">
        <f>'API Test Cases'!M68</f>
        <v>Pass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 t="s">
        <v>1817</v>
      </c>
      <c r="AA68" s="16" t="s">
        <v>1817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</row>
    <row r="69" spans="1:110" ht="42" customHeight="1" x14ac:dyDescent="0.3">
      <c r="A69" s="13" t="str">
        <f>'API Test Cases'!A69</f>
        <v>TC_BEN_NEG_065</v>
      </c>
      <c r="B69" s="13" t="str">
        <f>'API Test Cases'!D69</f>
        <v>sort icazəli dəyər olmadıqda ("iban") 400 VALIDATION_ERROR qaytarılır</v>
      </c>
      <c r="C69" s="13" t="str">
        <f>'API Test Cases'!B69</f>
        <v>SC-010</v>
      </c>
      <c r="D69" s="13" t="str">
        <f>'API Test Cases'!M69</f>
        <v>Pass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 t="s">
        <v>1817</v>
      </c>
      <c r="AA69" s="16" t="s">
        <v>1817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</row>
    <row r="70" spans="1:110" ht="42" customHeight="1" x14ac:dyDescent="0.3">
      <c r="A70" s="13" t="str">
        <f>'API Test Cases'!A70</f>
        <v>TC_BEN_NEG_066</v>
      </c>
      <c r="B70" s="13" t="str">
        <f>'API Test Cases'!D70</f>
        <v>order icazəli dəyər olmadıqda ("up") 400 VALIDATION_ERROR qaytarılır</v>
      </c>
      <c r="C70" s="13" t="str">
        <f>'API Test Cases'!B70</f>
        <v>SC-010</v>
      </c>
      <c r="D70" s="13" t="str">
        <f>'API Test Cases'!M70</f>
        <v>Pass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 t="s">
        <v>1817</v>
      </c>
      <c r="AA70" s="16" t="s">
        <v>1817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</row>
    <row r="71" spans="1:110" ht="42" customHeight="1" x14ac:dyDescent="0.3">
      <c r="A71" s="13" t="str">
        <f>'API Test Cases'!A71</f>
        <v>TC_BEN_NEG_067</v>
      </c>
      <c r="B71" s="13" t="str">
        <f>'API Test Cases'!D71</f>
        <v>Dörd parametr eyni anda səhv olduqda details-də hər səhv parametr ayrıca qaytarılır</v>
      </c>
      <c r="C71" s="13" t="str">
        <f>'API Test Cases'!B71</f>
        <v>SC-010</v>
      </c>
      <c r="D71" s="13" t="str">
        <f>'API Test Cases'!M71</f>
        <v>Pass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 t="s">
        <v>1817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</row>
    <row r="72" spans="1:110" ht="42" customHeight="1" x14ac:dyDescent="0.3">
      <c r="A72" s="13" t="str">
        <f>'API Test Cases'!A72</f>
        <v>TC_BEN_NEG_068</v>
      </c>
      <c r="B72" s="13" t="str">
        <f>'API Test Cases'!D72</f>
        <v>Authorization header olmadıqda və ya saxta token göndərildikdə 401 qaytarılır</v>
      </c>
      <c r="C72" s="13" t="str">
        <f>'API Test Cases'!B72</f>
        <v>SC-010</v>
      </c>
      <c r="D72" s="13" t="str">
        <f>'API Test Cases'!M72</f>
        <v>Pass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 t="s">
        <v>1817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</row>
    <row r="73" spans="1:110" ht="42" customHeight="1" x14ac:dyDescent="0.3">
      <c r="A73" s="13" t="str">
        <f>'API Test Cases'!A73</f>
        <v>TC_BEN_POS_069</v>
      </c>
      <c r="B73" s="13" t="str">
        <f>'API Test Cases'!D73</f>
        <v>Mövcud alıcı silindikdə 204 No Content və boş body qaytarılır</v>
      </c>
      <c r="C73" s="13" t="str">
        <f>'API Test Cases'!B73</f>
        <v>SC-011</v>
      </c>
      <c r="D73" s="13" t="str">
        <f>'API Test Cases'!M73</f>
        <v>Pass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 t="s">
        <v>1817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</row>
    <row r="74" spans="1:110" ht="42" customHeight="1" x14ac:dyDescent="0.3">
      <c r="A74" s="13" t="str">
        <f>'API Test Cases'!A74</f>
        <v>TC_BEN_POS_070</v>
      </c>
      <c r="B74" s="13" t="str">
        <f>'API Test Cases'!D74</f>
        <v>Silinmiş alıcı GET /beneficiaries siyahısında olmur və total 1 azalır</v>
      </c>
      <c r="C74" s="13" t="str">
        <f>'API Test Cases'!B74</f>
        <v>SC-011</v>
      </c>
      <c r="D74" s="13" t="str">
        <f>'API Test Cases'!M74</f>
        <v>Pass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 t="s">
        <v>1817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</row>
    <row r="75" spans="1:110" ht="42" customHeight="1" x14ac:dyDescent="0.3">
      <c r="A75" s="13" t="str">
        <f>'API Test Cases'!A75</f>
        <v>TC_BEN_NEG_071</v>
      </c>
      <c r="B75" s="13" t="str">
        <f>'API Test Cases'!D75</f>
        <v>Artıq silinmiş alıcı eyni id ilə ikinci dəfə silindikdə 404 NOT_FOUND qaytarılır</v>
      </c>
      <c r="C75" s="13" t="str">
        <f>'API Test Cases'!B75</f>
        <v>SC-011</v>
      </c>
      <c r="D75" s="13" t="str">
        <f>'API Test Cases'!M75</f>
        <v>Pass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 t="s">
        <v>1817</v>
      </c>
      <c r="AG75" s="16"/>
      <c r="AH75" s="16"/>
      <c r="AI75" s="16" t="s">
        <v>1817</v>
      </c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</row>
    <row r="76" spans="1:110" ht="42" customHeight="1" x14ac:dyDescent="0.3">
      <c r="A76" s="13" t="str">
        <f>'API Test Cases'!A76</f>
        <v>TC_BEN_EDGE_072</v>
      </c>
      <c r="B76" s="13" t="str">
        <f>'API Test Cases'!D76</f>
        <v>Silinmiş alıcının IBAN-ı yenidən əlavə edildikdə 201 qaytarılır (409 BENEFICIARY_EXISTS yox)</v>
      </c>
      <c r="C76" s="13" t="str">
        <f>'API Test Cases'!B76</f>
        <v>SC-011</v>
      </c>
      <c r="D76" s="13" t="str">
        <f>'API Test Cases'!M76</f>
        <v>Pass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 t="s">
        <v>1817</v>
      </c>
      <c r="AE76" s="16"/>
      <c r="AF76" s="16"/>
      <c r="AG76" s="16"/>
      <c r="AH76" s="16"/>
      <c r="AI76" s="16"/>
      <c r="AJ76" s="16"/>
      <c r="AK76" s="16" t="s">
        <v>1817</v>
      </c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</row>
    <row r="77" spans="1:110" ht="42" customHeight="1" x14ac:dyDescent="0.3">
      <c r="A77" s="13" t="str">
        <f>'API Test Cases'!A77</f>
        <v>TC_BEN_EDGE_073</v>
      </c>
      <c r="B77" s="13" t="str">
        <f>'API Test Cases'!D77</f>
        <v>Siyahı dolu (10) olduqda bir alıcı silinəndən sonra yeni alıcı əlavə edilə bilir</v>
      </c>
      <c r="C77" s="13" t="str">
        <f>'API Test Cases'!B77</f>
        <v>SC-011</v>
      </c>
      <c r="D77" s="13" t="str">
        <f>'API Test Cases'!M77</f>
        <v>Pass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1817</v>
      </c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</row>
    <row r="78" spans="1:110" ht="42" customHeight="1" x14ac:dyDescent="0.3">
      <c r="A78" s="13" t="str">
        <f>'API Test Cases'!A78</f>
        <v>TC_BEN_NEG_074</v>
      </c>
      <c r="B78" s="13" t="str">
        <f>'API Test Cases'!D78</f>
        <v>Mövcud olmayan, düzgün formatlı id (ben_zzzzzzzz) silinmək istədikdə 404 NOT_FOUND qaytarılır</v>
      </c>
      <c r="C78" s="13" t="str">
        <f>'API Test Cases'!B78</f>
        <v>SC-012</v>
      </c>
      <c r="D78" s="13" t="str">
        <f>'API Test Cases'!M78</f>
        <v>Pass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 t="s">
        <v>1817</v>
      </c>
      <c r="AI78" s="16" t="s">
        <v>1817</v>
      </c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</row>
    <row r="79" spans="1:110" ht="42" customHeight="1" x14ac:dyDescent="0.3">
      <c r="A79" s="13" t="str">
        <f>'API Test Cases'!A79</f>
        <v>TC_BEN_NEG_075</v>
      </c>
      <c r="B79" s="13" t="str">
        <f>'API Test Cases'!D79</f>
        <v>Formatı səhv olan id ("abc") ilə silmə sorğusunda 404 NOT_FOUND qaytarılır</v>
      </c>
      <c r="C79" s="13" t="str">
        <f>'API Test Cases'!B79</f>
        <v>SC-012</v>
      </c>
      <c r="D79" s="13" t="str">
        <f>'API Test Cases'!M79</f>
        <v>Pass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 t="s">
        <v>1817</v>
      </c>
      <c r="AI79" s="16" t="s">
        <v>1817</v>
      </c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</row>
    <row r="80" spans="1:110" ht="42" customHeight="1" x14ac:dyDescent="0.3">
      <c r="A80" s="13" t="str">
        <f>'API Test Cases'!A80</f>
        <v>TC_BEN_EDGE_076</v>
      </c>
      <c r="B80" s="13" t="str">
        <f>'API Test Cases'!D80</f>
        <v>user2 user1-in alıcısını silməyə çalışdıqda 404 NOT_FOUND qaytarılır (403 yox)</v>
      </c>
      <c r="C80" s="13" t="str">
        <f>'API Test Cases'!B80</f>
        <v>SC-012</v>
      </c>
      <c r="D80" s="13" t="str">
        <f>'API Test Cases'!M80</f>
        <v>Pass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 t="s">
        <v>1817</v>
      </c>
      <c r="AH80" s="16"/>
      <c r="AI80" s="16"/>
      <c r="AJ80" s="16" t="s">
        <v>1817</v>
      </c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</row>
    <row r="81" spans="1:110" ht="42" customHeight="1" x14ac:dyDescent="0.3">
      <c r="A81" s="13" t="str">
        <f>'API Test Cases'!A81</f>
        <v>TC_BEN_EDGE_077</v>
      </c>
      <c r="B81" s="13" t="str">
        <f>'API Test Cases'!D81</f>
        <v>user2-nin uğursuz silmə cəhdindən sonra user1-in alıcısı siyahıda qalır</v>
      </c>
      <c r="C81" s="13" t="str">
        <f>'API Test Cases'!B81</f>
        <v>SC-012</v>
      </c>
      <c r="D81" s="13" t="str">
        <f>'API Test Cases'!M81</f>
        <v>Pass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 t="s">
        <v>1817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</row>
    <row r="82" spans="1:110" ht="42" customHeight="1" x14ac:dyDescent="0.3">
      <c r="A82" s="13" t="str">
        <f>'API Test Cases'!A82</f>
        <v>TC_BEN_NEG_078</v>
      </c>
      <c r="B82" s="13" t="str">
        <f>'API Test Cases'!D82</f>
        <v>Authorization header olmadıqda və ya saxta token göndərildikdə 401 qaytarılır və alıcı silinmir</v>
      </c>
      <c r="C82" s="13" t="str">
        <f>'API Test Cases'!B82</f>
        <v>SC-012</v>
      </c>
      <c r="D82" s="13" t="str">
        <f>'API Test Cases'!M82</f>
        <v>Pass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 t="s">
        <v>1817</v>
      </c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</row>
    <row r="83" spans="1:110" ht="42" customHeight="1" x14ac:dyDescent="0.3">
      <c r="A83" s="13" t="str">
        <f>'API Test Cases'!A83</f>
        <v>TC_BEN_EDGE_079</v>
      </c>
      <c r="B83" s="13" t="str">
        <f>'API Test Cases'!D83</f>
        <v>Token olmadıqda mövcud olmayan id üçün də 401 qaytarılır (404 yox)</v>
      </c>
      <c r="C83" s="13" t="str">
        <f>'API Test Cases'!B83</f>
        <v>SC-012</v>
      </c>
      <c r="D83" s="13" t="str">
        <f>'API Test Cases'!M83</f>
        <v>Pass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 t="s">
        <v>1817</v>
      </c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</row>
    <row r="84" spans="1:110" ht="42" customHeight="1" x14ac:dyDescent="0.3">
      <c r="A84" s="13" t="str">
        <f>'API Test Cases'!A84</f>
        <v>TC_CRD_POS_001</v>
      </c>
      <c r="B84" s="13" t="str">
        <f>'API Test Cases'!D84</f>
        <v>Etibarlı sorğu ilə kart buraxıldıqda 201: status ACTIVE, availableBalance = initialAmount, limitlər 500/300, spentToday 0</v>
      </c>
      <c r="C84" s="13" t="str">
        <f>'API Test Cases'!B84</f>
        <v>SC-013</v>
      </c>
      <c r="D84" s="13" t="str">
        <f>'API Test Cases'!M84</f>
        <v>Pass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1817</v>
      </c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</row>
    <row r="85" spans="1:110" ht="42" customHeight="1" x14ac:dyDescent="0.3">
      <c r="A85" s="13" t="str">
        <f>'API Test Cases'!A85</f>
        <v>TC_CRD_POS_002</v>
      </c>
      <c r="B85" s="13" t="str">
        <f>'API Test Cases'!D85</f>
        <v>Kart buraxıldıqda maskedPan "4169 73** **** NNNN" formatında, expiry isə bu gündən 3 il sonranın MM/YY-idir</v>
      </c>
      <c r="C85" s="13" t="str">
        <f>'API Test Cases'!B85</f>
        <v>SC-013</v>
      </c>
      <c r="D85" s="13" t="str">
        <f>'API Test Cases'!M85</f>
        <v>Pass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 t="s">
        <v>1817</v>
      </c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</row>
    <row r="86" spans="1:110" ht="42" customHeight="1" x14ac:dyDescent="0.3">
      <c r="A86" s="13" t="str">
        <f>'API Test Cases'!A86</f>
        <v>TC_CRD_POS_003</v>
      </c>
      <c r="B86" s="13" t="str">
        <f>'API Test Cases'!D86</f>
        <v>label göndərilmədikdə kart yaradılır və cavabda "label": null qaytarılır</v>
      </c>
      <c r="C86" s="13" t="str">
        <f>'API Test Cases'!B86</f>
        <v>SC-013</v>
      </c>
      <c r="D86" s="13" t="str">
        <f>'API Test Cases'!M86</f>
        <v>Pass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 t="s">
        <v>1817</v>
      </c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</row>
    <row r="87" spans="1:110" ht="42" customHeight="1" x14ac:dyDescent="0.3">
      <c r="A87" s="13" t="str">
        <f>'API Test Cases'!A87</f>
        <v>TC_CRD_POS_004</v>
      </c>
      <c r="B87" s="13" t="str">
        <f>'API Test Cases'!D87</f>
        <v>user2 USD hesabından kart buraxdıqda kartın valyutası USD olur</v>
      </c>
      <c r="C87" s="13" t="str">
        <f>'API Test Cases'!B87</f>
        <v>SC-013</v>
      </c>
      <c r="D87" s="13" t="str">
        <f>'API Test Cases'!M87</f>
        <v>Pass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 t="s">
        <v>1817</v>
      </c>
      <c r="AM87" s="16"/>
      <c r="AN87" s="16"/>
      <c r="AO87" s="16"/>
      <c r="AP87" s="16"/>
      <c r="AQ87" s="16"/>
      <c r="AR87" s="16"/>
      <c r="AS87" s="16"/>
      <c r="AT87" s="16"/>
      <c r="AU87" s="16"/>
      <c r="AV87" s="16" t="s">
        <v>1817</v>
      </c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</row>
    <row r="88" spans="1:110" ht="42" customHeight="1" x14ac:dyDescent="0.3">
      <c r="A88" s="13" t="str">
        <f>'API Test Cases'!A88</f>
        <v>TC_CRD_EDGE_005</v>
      </c>
      <c r="B88" s="13" t="str">
        <f>'API Test Cases'!D88</f>
        <v>Kart buraxıldıqdan sonra əsas hesabın balansı (GET /me/accounts) dəyişmir</v>
      </c>
      <c r="C88" s="13" t="str">
        <f>'API Test Cases'!B88</f>
        <v>SC-013</v>
      </c>
      <c r="D88" s="13" t="str">
        <f>'API Test Cases'!M88</f>
        <v>Pass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 t="s">
        <v>1817</v>
      </c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</row>
    <row r="89" spans="1:110" ht="42" customHeight="1" x14ac:dyDescent="0.3">
      <c r="A89" s="13" t="str">
        <f>'API Test Cases'!A89</f>
        <v>TC_CRD_BVA_006</v>
      </c>
      <c r="B89" s="13" t="str">
        <f>'API Test Cases'!D89</f>
        <v>initialAmount 1.00 (aşağı sərhəd) olduqda kart yaradılır</v>
      </c>
      <c r="C89" s="13" t="str">
        <f>'API Test Cases'!B89</f>
        <v>SC-014</v>
      </c>
      <c r="D89" s="13" t="str">
        <f>'API Test Cases'!M89</f>
        <v>Pass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 t="s">
        <v>1817</v>
      </c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</row>
    <row r="90" spans="1:110" ht="42" customHeight="1" x14ac:dyDescent="0.3">
      <c r="A90" s="13" t="str">
        <f>'API Test Cases'!A90</f>
        <v>TC_CRD_BVA_007</v>
      </c>
      <c r="B90" s="13" t="str">
        <f>'API Test Cases'!D90</f>
        <v>initialAmount 1000.00 (yuxarı sərhəd) olduqda kart yaradılır</v>
      </c>
      <c r="C90" s="13" t="str">
        <f>'API Test Cases'!B90</f>
        <v>SC-014</v>
      </c>
      <c r="D90" s="13" t="str">
        <f>'API Test Cases'!M90</f>
        <v>Pass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1817</v>
      </c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</row>
    <row r="91" spans="1:110" ht="42" customHeight="1" x14ac:dyDescent="0.3">
      <c r="A91" s="13" t="str">
        <f>'API Test Cases'!A91</f>
        <v>TC_CRD_BVA_008</v>
      </c>
      <c r="B91" s="13" t="str">
        <f>'API Test Cases'!D91</f>
        <v>initialAmount 0.99 (min − 0.01) olduqda 400 VALIDATION_ERROR qaytarılır</v>
      </c>
      <c r="C91" s="13" t="str">
        <f>'API Test Cases'!B91</f>
        <v>SC-014</v>
      </c>
      <c r="D91" s="13" t="str">
        <f>'API Test Cases'!M91</f>
        <v>Pass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 t="s">
        <v>1817</v>
      </c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</row>
    <row r="92" spans="1:110" ht="42" customHeight="1" x14ac:dyDescent="0.3">
      <c r="A92" s="13" t="str">
        <f>'API Test Cases'!A92</f>
        <v>TC_CRD_BVA_009</v>
      </c>
      <c r="B92" s="13" t="str">
        <f>'API Test Cases'!D92</f>
        <v>initialAmount 1000.01 (max + 0.01) olduqda 400 VALIDATION_ERROR qaytarılır</v>
      </c>
      <c r="C92" s="13" t="str">
        <f>'API Test Cases'!B92</f>
        <v>SC-014</v>
      </c>
      <c r="D92" s="13" t="str">
        <f>'API Test Cases'!M92</f>
        <v>Pass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 t="s">
        <v>1817</v>
      </c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</row>
    <row r="93" spans="1:110" ht="42" customHeight="1" x14ac:dyDescent="0.3">
      <c r="A93" s="13" t="str">
        <f>'API Test Cases'!A93</f>
        <v>TC_CRD_NEG_010</v>
      </c>
      <c r="B93" s="13" t="str">
        <f>'API Test Cases'!D93</f>
        <v>initialAmount mətn kimi ("50") göndərildikdə 400 VALIDATION_ERROR qaytarılır</v>
      </c>
      <c r="C93" s="13" t="str">
        <f>'API Test Cases'!B93</f>
        <v>SC-014</v>
      </c>
      <c r="D93" s="13" t="str">
        <f>'API Test Cases'!M93</f>
        <v>Pass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 t="s">
        <v>1817</v>
      </c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</row>
    <row r="94" spans="1:110" ht="42" customHeight="1" x14ac:dyDescent="0.3">
      <c r="A94" s="13" t="str">
        <f>'API Test Cases'!A94</f>
        <v>TC_CRD_NEG_011</v>
      </c>
      <c r="B94" s="13" t="str">
        <f>'API Test Cases'!D94</f>
        <v>initialAmount 3 onluqlu (10.555) olduqda 400 VALIDATION_ERROR qaytarılır</v>
      </c>
      <c r="C94" s="13" t="str">
        <f>'API Test Cases'!B94</f>
        <v>SC-014</v>
      </c>
      <c r="D94" s="13" t="str">
        <f>'API Test Cases'!M94</f>
        <v>Pass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 t="s">
        <v>1817</v>
      </c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</row>
    <row r="95" spans="1:110" ht="42" customHeight="1" x14ac:dyDescent="0.3">
      <c r="A95" s="13" t="str">
        <f>'API Test Cases'!A95</f>
        <v>TC_CRD_NEG_012</v>
      </c>
      <c r="B95" s="13" t="str">
        <f>'API Test Cases'!D95</f>
        <v>initialAmount göndərilmədikdə 400 VALIDATION_ERROR qaytarılır</v>
      </c>
      <c r="C95" s="13" t="str">
        <f>'API Test Cases'!B95</f>
        <v>SC-014</v>
      </c>
      <c r="D95" s="13" t="str">
        <f>'API Test Cases'!M95</f>
        <v>Pass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 t="s">
        <v>1817</v>
      </c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</row>
    <row r="96" spans="1:110" ht="42" customHeight="1" x14ac:dyDescent="0.3">
      <c r="A96" s="13" t="str">
        <f>'API Test Cases'!A96</f>
        <v>TC_CRD_NEG_013</v>
      </c>
      <c r="B96" s="13" t="str">
        <f>'API Test Cases'!D96</f>
        <v>user1 başqa istifadəçinin hesabı (acc_003) ilə kart açdıqda 403 FORBIDDEN qaytarılır</v>
      </c>
      <c r="C96" s="13" t="str">
        <f>'API Test Cases'!B96</f>
        <v>SC-015</v>
      </c>
      <c r="D96" s="13" t="str">
        <f>'API Test Cases'!M96</f>
        <v>Pass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 t="s">
        <v>1817</v>
      </c>
      <c r="AQ96" s="16"/>
      <c r="AR96" s="16"/>
      <c r="AS96" s="16"/>
      <c r="AT96" s="16"/>
      <c r="AU96" s="16" t="s">
        <v>1817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</row>
    <row r="97" spans="1:110" ht="42" customHeight="1" x14ac:dyDescent="0.3">
      <c r="A97" s="13" t="str">
        <f>'API Test Cases'!A97</f>
        <v>TC_CRD_NEG_014</v>
      </c>
      <c r="B97" s="13" t="str">
        <f>'API Test Cases'!D97</f>
        <v>Mövcud olmayan hesab (acc_999) ilə kart açdıqda 404 ACCOUNT_NOT_FOUND qaytarılır</v>
      </c>
      <c r="C97" s="13" t="str">
        <f>'API Test Cases'!B97</f>
        <v>SC-015</v>
      </c>
      <c r="D97" s="13" t="str">
        <f>'API Test Cases'!M97</f>
        <v>Pass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 t="s">
        <v>1817</v>
      </c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</row>
    <row r="98" spans="1:110" ht="42" customHeight="1" x14ac:dyDescent="0.3">
      <c r="A98" s="13" t="str">
        <f>'API Test Cases'!A98</f>
        <v>TC_CRD_NEG_015</v>
      </c>
      <c r="B98" s="13" t="str">
        <f>'API Test Cases'!D98</f>
        <v>accountId göndərilmədikdə 400 VALIDATION_ERROR qaytarılır</v>
      </c>
      <c r="C98" s="13" t="str">
        <f>'API Test Cases'!B98</f>
        <v>SC-015</v>
      </c>
      <c r="D98" s="13" t="str">
        <f>'API Test Cases'!M98</f>
        <v>Pass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 t="s">
        <v>1817</v>
      </c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</row>
    <row r="99" spans="1:110" ht="42" customHeight="1" x14ac:dyDescent="0.3">
      <c r="A99" s="13" t="str">
        <f>'API Test Cases'!A99</f>
        <v>TC_CRD_BVA_016</v>
      </c>
      <c r="B99" s="13" t="str">
        <f>'API Test Cases'!D99</f>
        <v>label 31 simvol (max + 1) olduqda 400 VALIDATION_ERROR qaytarılır</v>
      </c>
      <c r="C99" s="13" t="str">
        <f>'API Test Cases'!B99</f>
        <v>SC-015</v>
      </c>
      <c r="D99" s="13" t="str">
        <f>'API Test Cases'!M99</f>
        <v>Pass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 t="s">
        <v>1817</v>
      </c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</row>
    <row r="100" spans="1:110" ht="42" customHeight="1" x14ac:dyDescent="0.3">
      <c r="A100" s="13" t="str">
        <f>'API Test Cases'!A100</f>
        <v>TC_CRD_BVA_017</v>
      </c>
      <c r="B100" s="13" t="str">
        <f>'API Test Cases'!D100</f>
        <v>label boş string ("", min − 1) olduqda 400 VALIDATION_ERROR qaytarılır</v>
      </c>
      <c r="C100" s="13" t="str">
        <f>'API Test Cases'!B100</f>
        <v>SC-015</v>
      </c>
      <c r="D100" s="13" t="str">
        <f>'API Test Cases'!M100</f>
        <v>Pass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 t="s">
        <v>1817</v>
      </c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</row>
    <row r="101" spans="1:110" ht="42" customHeight="1" x14ac:dyDescent="0.3">
      <c r="A101" s="13" t="str">
        <f>'API Test Cases'!A101</f>
        <v>TC_CRD_BVA_018</v>
      </c>
      <c r="B101" s="13" t="str">
        <f>'API Test Cases'!D101</f>
        <v>label 30 simvol (yuxarı sərhəd) olduqda kart yaradılır</v>
      </c>
      <c r="C101" s="13" t="str">
        <f>'API Test Cases'!B101</f>
        <v>SC-015</v>
      </c>
      <c r="D101" s="13" t="str">
        <f>'API Test Cases'!M101</f>
        <v>Pass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 t="s">
        <v>1817</v>
      </c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</row>
    <row r="102" spans="1:110" ht="42" customHeight="1" x14ac:dyDescent="0.3">
      <c r="A102" s="13" t="str">
        <f>'API Test Cases'!A102</f>
        <v>TC_CRD_NEG_019</v>
      </c>
      <c r="B102" s="13" t="str">
        <f>'API Test Cases'!D102</f>
        <v>Üç sahə eyni anda səhv olduqda details-də hər səhv sahə ayrıca qaytarılır</v>
      </c>
      <c r="C102" s="13" t="str">
        <f>'API Test Cases'!B102</f>
        <v>SC-015</v>
      </c>
      <c r="D102" s="13" t="str">
        <f>'API Test Cases'!M102</f>
        <v>Pass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 t="s">
        <v>1817</v>
      </c>
      <c r="AU102" s="16" t="s">
        <v>1817</v>
      </c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</row>
    <row r="103" spans="1:110" ht="42" customHeight="1" x14ac:dyDescent="0.3">
      <c r="A103" s="13" t="str">
        <f>'API Test Cases'!A103</f>
        <v>TC_CRD_NEG_020</v>
      </c>
      <c r="B103" s="13" t="str">
        <f>'API Test Cases'!D103</f>
        <v>Authorization header olmadıqda və ya saxta token göndərildikdə 401 qaytarılır</v>
      </c>
      <c r="C103" s="13" t="str">
        <f>'API Test Cases'!B103</f>
        <v>SC-015</v>
      </c>
      <c r="D103" s="13" t="str">
        <f>'API Test Cases'!M103</f>
        <v>Pass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 t="s">
        <v>1817</v>
      </c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</row>
    <row r="104" spans="1:110" ht="42" customHeight="1" x14ac:dyDescent="0.3">
      <c r="A104" s="13" t="str">
        <f>'API Test Cases'!A104</f>
        <v>TC_CRD_NEG_021</v>
      </c>
      <c r="B104" s="13" t="str">
        <f>'API Test Cases'!D104</f>
        <v>Body etibarsız JSON olduqda 400 qaytarılır və kart yaradılmır</v>
      </c>
      <c r="C104" s="13" t="str">
        <f>'API Test Cases'!B104</f>
        <v>SC-015</v>
      </c>
      <c r="D104" s="13" t="str">
        <f>'API Test Cases'!M104</f>
        <v>Pass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 t="s">
        <v>1817</v>
      </c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</row>
    <row r="105" spans="1:110" ht="42" customHeight="1" x14ac:dyDescent="0.3">
      <c r="A105" s="13" t="str">
        <f>'API Test Cases'!A105</f>
        <v>TC_CRD_BVA_022</v>
      </c>
      <c r="B105" s="13" t="str">
        <f>'API Test Cases'!D105</f>
        <v>user2 hesab balansına bərabər məbləğ (890.50) yüklədikdə kart yaradılır</v>
      </c>
      <c r="C105" s="13" t="str">
        <f>'API Test Cases'!B105</f>
        <v>SC-016</v>
      </c>
      <c r="D105" s="13" t="str">
        <f>'API Test Cases'!M105</f>
        <v>Pass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 t="s">
        <v>1817</v>
      </c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</row>
    <row r="106" spans="1:110" ht="42" customHeight="1" x14ac:dyDescent="0.3">
      <c r="A106" s="13" t="str">
        <f>'API Test Cases'!A106</f>
        <v>TC_CRD_BVA_023</v>
      </c>
      <c r="B106" s="13" t="str">
        <f>'API Test Cases'!D106</f>
        <v>user2 balansdan böyük məbləğ (890.51 və 891) yüklədikdə 422 INSUFFICIENT_FUNDS qaytarılır</v>
      </c>
      <c r="C106" s="13" t="str">
        <f>'API Test Cases'!B106</f>
        <v>SC-016</v>
      </c>
      <c r="D106" s="13" t="str">
        <f>'API Test Cases'!M106</f>
        <v>Pass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 t="s">
        <v>1817</v>
      </c>
      <c r="AR106" s="16"/>
      <c r="AS106" s="16"/>
      <c r="AT106" s="16"/>
      <c r="AU106" s="16" t="s">
        <v>1817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</row>
    <row r="107" spans="1:110" ht="42" customHeight="1" x14ac:dyDescent="0.3">
      <c r="A107" s="13" t="str">
        <f>'API Test Cases'!A107</f>
        <v>TC_CRD_BVA_024</v>
      </c>
      <c r="B107" s="13" t="str">
        <f>'API Test Cases'!D107</f>
        <v>3 ACTIVE kart olduqda 4-cü kart üçün 422 CARD_LIMIT_REACHED qaytarılır</v>
      </c>
      <c r="C107" s="13" t="str">
        <f>'API Test Cases'!B107</f>
        <v>SC-016</v>
      </c>
      <c r="D107" s="13" t="str">
        <f>'API Test Cases'!M107</f>
        <v>Pass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 t="s">
        <v>1817</v>
      </c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</row>
    <row r="108" spans="1:110" ht="42" customHeight="1" x14ac:dyDescent="0.3">
      <c r="A108" s="13" t="str">
        <f>'API Test Cases'!A108</f>
        <v>TC_CRD_EDGE_025</v>
      </c>
      <c r="B108" s="13" t="str">
        <f>'API Test Cases'!D108</f>
        <v>2 ACTIVE + 1 FROZEN kart olduqda 4-cü kart üçün 422 CARD_LIMIT_REACHED qaytarılır (FROZEN limitə sayılır)</v>
      </c>
      <c r="C108" s="13" t="str">
        <f>'API Test Cases'!B108</f>
        <v>SC-016</v>
      </c>
      <c r="D108" s="13" t="str">
        <f>'API Test Cases'!M108</f>
        <v>Pass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 t="s">
        <v>1817</v>
      </c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</row>
    <row r="109" spans="1:110" ht="42" customHeight="1" x14ac:dyDescent="0.3">
      <c r="A109" s="13" t="str">
        <f>'API Test Cases'!A109</f>
        <v>TC_CRD_EDGE_026</v>
      </c>
      <c r="B109" s="13" t="str">
        <f>'API Test Cases'!D109</f>
        <v>3 kartdan biri BLOCKED edildikdən sonra yeni kart yaradılır (BLOCKED limitə sayılmır)</v>
      </c>
      <c r="C109" s="13" t="str">
        <f>'API Test Cases'!B109</f>
        <v>SC-016</v>
      </c>
      <c r="D109" s="13" t="str">
        <f>'API Test Cases'!M109</f>
        <v>Pass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 t="s">
        <v>1817</v>
      </c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</row>
    <row r="110" spans="1:110" ht="42" customHeight="1" x14ac:dyDescent="0.3">
      <c r="A110" s="13" t="str">
        <f>'API Test Cases'!A110</f>
        <v>TC_CRD_EDGE_027</v>
      </c>
      <c r="B110" s="13" t="str">
        <f>'API Test Cases'!D110</f>
        <v>Karta yükləmə balansı azaltmadığı üçün user2 cəmi balansdan çox olan iki kart (500 + 500) aça bilir</v>
      </c>
      <c r="C110" s="13" t="str">
        <f>'API Test Cases'!B110</f>
        <v>SC-016</v>
      </c>
      <c r="D110" s="13" t="str">
        <f>'API Test Cases'!M110</f>
        <v>Pass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 t="s">
        <v>1817</v>
      </c>
      <c r="AR110" s="16"/>
      <c r="AS110" s="16"/>
      <c r="AT110" s="16"/>
      <c r="AU110" s="16"/>
      <c r="AV110" s="16" t="s">
        <v>1817</v>
      </c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</row>
    <row r="111" spans="1:110" ht="42" customHeight="1" x14ac:dyDescent="0.3">
      <c r="A111" s="13" t="str">
        <f>'API Test Cases'!A111</f>
        <v>TC_CRD_POS_028</v>
      </c>
      <c r="B111" s="13" t="str">
        <f>'API Test Cases'!D111</f>
        <v>Yeni buraxılmış kart GET edildikdə 200 və POST cavabı ilə eyni dəyərlər qaytarılır</v>
      </c>
      <c r="C111" s="13" t="str">
        <f>'API Test Cases'!B111</f>
        <v>SC-017</v>
      </c>
      <c r="D111" s="13" t="str">
        <f>'API Test Cases'!M111</f>
        <v>Pass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 t="s">
        <v>1817</v>
      </c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</row>
    <row r="112" spans="1:110" ht="42" customHeight="1" x14ac:dyDescent="0.3">
      <c r="A112" s="13" t="str">
        <f>'API Test Cases'!A112</f>
        <v>TC_CRD_EDGE_029</v>
      </c>
      <c r="B112" s="13" t="str">
        <f>'API Test Cases'!D112</f>
        <v>user2 user1-in kartını GET etdikdə 404 NOT_FOUND qaytarılır</v>
      </c>
      <c r="C112" s="13" t="str">
        <f>'API Test Cases'!B112</f>
        <v>SC-017</v>
      </c>
      <c r="D112" s="13" t="str">
        <f>'API Test Cases'!M112</f>
        <v>Pass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 t="s">
        <v>1817</v>
      </c>
      <c r="AZ112" s="16"/>
      <c r="BA112" s="16" t="s">
        <v>1817</v>
      </c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</row>
    <row r="113" spans="1:110" ht="42" customHeight="1" x14ac:dyDescent="0.3">
      <c r="A113" s="13" t="str">
        <f>'API Test Cases'!A113</f>
        <v>TC_CRD_NEG_030</v>
      </c>
      <c r="B113" s="13" t="str">
        <f>'API Test Cases'!D113</f>
        <v>Mövcud olmayan kart id-si (vcd_zzzzzzzz) GET edildikdə 404 NOT_FOUND qaytarılır</v>
      </c>
      <c r="C113" s="13" t="str">
        <f>'API Test Cases'!B113</f>
        <v>SC-017</v>
      </c>
      <c r="D113" s="13" t="str">
        <f>'API Test Cases'!M113</f>
        <v>Pass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 t="s">
        <v>1817</v>
      </c>
      <c r="BA113" s="16" t="s">
        <v>1817</v>
      </c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</row>
    <row r="114" spans="1:110" ht="42" customHeight="1" x14ac:dyDescent="0.3">
      <c r="A114" s="13" t="str">
        <f>'API Test Cases'!A114</f>
        <v>TC_CRD_NEG_031</v>
      </c>
      <c r="B114" s="13" t="str">
        <f>'API Test Cases'!D114</f>
        <v>Token olmadan və ya saxta tokenlə kart GET edildikdə 401 qaytarılır</v>
      </c>
      <c r="C114" s="13" t="str">
        <f>'API Test Cases'!B114</f>
        <v>SC-017</v>
      </c>
      <c r="D114" s="13" t="str">
        <f>'API Test Cases'!M114</f>
        <v>Pass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 t="s">
        <v>1817</v>
      </c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</row>
    <row r="115" spans="1:110" ht="42" customHeight="1" x14ac:dyDescent="0.3">
      <c r="A115" s="13" t="str">
        <f>'API Test Cases'!A115</f>
        <v>TC_CRD_POS_032</v>
      </c>
      <c r="B115" s="13" t="str">
        <f>'API Test Cases'!D115</f>
        <v>Kartla 50.50 AZN ödənişdən sonra GET-də availableBalance 50.50 azalır, spentToday 50.50 artır</v>
      </c>
      <c r="C115" s="13" t="str">
        <f>'API Test Cases'!B115</f>
        <v>SC-017</v>
      </c>
      <c r="D115" s="13" t="str">
        <f>'API Test Cases'!M115</f>
        <v>Pass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 t="s">
        <v>1817</v>
      </c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</row>
    <row r="116" spans="1:110" ht="42" customHeight="1" x14ac:dyDescent="0.3">
      <c r="A116" s="13" t="str">
        <f>'API Test Cases'!A116</f>
        <v>TC_CRD_POS_033</v>
      </c>
      <c r="B116" s="13" t="str">
        <f>'API Test Cases'!D116</f>
        <v>ACTIVE kart TEMPORARY səbəbi ilə dondurulduqda 200: status FROZEN, blockReason TEMPORARY, blockedAt dolu</v>
      </c>
      <c r="C116" s="13" t="str">
        <f>'API Test Cases'!B116</f>
        <v>SC-018</v>
      </c>
      <c r="D116" s="13" t="str">
        <f>'API Test Cases'!M116</f>
        <v>Pass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 t="s">
        <v>1817</v>
      </c>
      <c r="BC116" s="16"/>
      <c r="BD116" s="16"/>
      <c r="BE116" s="16"/>
      <c r="BF116" s="16"/>
      <c r="BG116" s="16"/>
      <c r="BH116" s="16"/>
      <c r="BI116" s="16" t="s">
        <v>1817</v>
      </c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</row>
    <row r="117" spans="1:110" ht="42" customHeight="1" x14ac:dyDescent="0.3">
      <c r="A117" s="13" t="str">
        <f>'API Test Cases'!A117</f>
        <v>TC_CRD_POS_034</v>
      </c>
      <c r="B117" s="13" t="str">
        <f>'API Test Cases'!D117</f>
        <v>ACTIVE kart LOST səbəbi ilə bloklandıqda 200: status BLOCKED</v>
      </c>
      <c r="C117" s="13" t="str">
        <f>'API Test Cases'!B117</f>
        <v>SC-018</v>
      </c>
      <c r="D117" s="13" t="str">
        <f>'API Test Cases'!M117</f>
        <v>Pass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 t="s">
        <v>1817</v>
      </c>
      <c r="BD117" s="16"/>
      <c r="BE117" s="16"/>
      <c r="BF117" s="16"/>
      <c r="BG117" s="16"/>
      <c r="BH117" s="16"/>
      <c r="BI117" s="16" t="s">
        <v>1817</v>
      </c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</row>
    <row r="118" spans="1:110" ht="42" customHeight="1" x14ac:dyDescent="0.3">
      <c r="A118" s="13" t="str">
        <f>'API Test Cases'!A118</f>
        <v>TC_CRD_POS_035</v>
      </c>
      <c r="B118" s="13" t="str">
        <f>'API Test Cases'!D118</f>
        <v>ACTIVE kart STOLEN səbəbi ilə bloklandıqda 200: status BLOCKED</v>
      </c>
      <c r="C118" s="13" t="str">
        <f>'API Test Cases'!B118</f>
        <v>SC-018</v>
      </c>
      <c r="D118" s="13" t="str">
        <f>'API Test Cases'!M118</f>
        <v>Pass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 t="s">
        <v>1817</v>
      </c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</row>
    <row r="119" spans="1:110" ht="42" customHeight="1" x14ac:dyDescent="0.3">
      <c r="A119" s="13" t="str">
        <f>'API Test Cases'!A119</f>
        <v>TC_CRD_NEG_036</v>
      </c>
      <c r="B119" s="13" t="str">
        <f>'API Test Cases'!D119</f>
        <v>FROZEN kart yenidən TEMPORARY ilə dondurulduqda 409 ALREADY_FROZEN qaytarılır</v>
      </c>
      <c r="C119" s="13" t="str">
        <f>'API Test Cases'!B119</f>
        <v>SC-018</v>
      </c>
      <c r="D119" s="13" t="str">
        <f>'API Test Cases'!M119</f>
        <v>Pass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 t="s">
        <v>1817</v>
      </c>
      <c r="BF119" s="16"/>
      <c r="BG119" s="16"/>
      <c r="BH119" s="16"/>
      <c r="BI119" s="16" t="s">
        <v>1817</v>
      </c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</row>
    <row r="120" spans="1:110" ht="42" customHeight="1" x14ac:dyDescent="0.3">
      <c r="A120" s="13" t="str">
        <f>'API Test Cases'!A120</f>
        <v>TC_CRD_POS_037</v>
      </c>
      <c r="B120" s="13" t="str">
        <f>'API Test Cases'!D120</f>
        <v>FROZEN kart LOST səbəbi ilə bloklandıqda 200: status BLOCKED (eskalasiya)</v>
      </c>
      <c r="C120" s="13" t="str">
        <f>'API Test Cases'!B120</f>
        <v>SC-018</v>
      </c>
      <c r="D120" s="13" t="str">
        <f>'API Test Cases'!M120</f>
        <v>Pass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 t="s">
        <v>1817</v>
      </c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</row>
    <row r="121" spans="1:110" ht="42" customHeight="1" x14ac:dyDescent="0.3">
      <c r="A121" s="13" t="str">
        <f>'API Test Cases'!A121</f>
        <v>TC_CRD_POS_038</v>
      </c>
      <c r="B121" s="13" t="str">
        <f>'API Test Cases'!D121</f>
        <v>FROZEN kart STOLEN səbəbi ilə bloklandıqda 200: status BLOCKED (eskalasiya)</v>
      </c>
      <c r="C121" s="13" t="str">
        <f>'API Test Cases'!B121</f>
        <v>SC-018</v>
      </c>
      <c r="D121" s="13" t="str">
        <f>'API Test Cases'!M121</f>
        <v>Pass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 t="s">
        <v>1817</v>
      </c>
      <c r="BE121" s="16"/>
      <c r="BF121" s="16"/>
      <c r="BG121" s="16"/>
      <c r="BH121" s="16"/>
      <c r="BI121" s="16" t="s">
        <v>1817</v>
      </c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</row>
    <row r="122" spans="1:110" ht="42" customHeight="1" x14ac:dyDescent="0.3">
      <c r="A122" s="13" t="str">
        <f>'API Test Cases'!A122</f>
        <v>TC_CRD_NEG_039</v>
      </c>
      <c r="B122" s="13" t="str">
        <f>'API Test Cases'!D122</f>
        <v>BLOCKED kart TEMPORARY ilə dondurulmaq istədikdə 409 CARD_BLOCKED qaytarılır</v>
      </c>
      <c r="C122" s="13" t="str">
        <f>'API Test Cases'!B122</f>
        <v>SC-018</v>
      </c>
      <c r="D122" s="13" t="str">
        <f>'API Test Cases'!M122</f>
        <v>Pass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 t="s">
        <v>1817</v>
      </c>
      <c r="BG122" s="16"/>
      <c r="BH122" s="16"/>
      <c r="BI122" s="16" t="s">
        <v>1817</v>
      </c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</row>
    <row r="123" spans="1:110" ht="42" customHeight="1" x14ac:dyDescent="0.3">
      <c r="A123" s="13" t="str">
        <f>'API Test Cases'!A123</f>
        <v>TC_CRD_NEG_040</v>
      </c>
      <c r="B123" s="13" t="str">
        <f>'API Test Cases'!D123</f>
        <v>BLOCKED kart yenidən LOST ilə bloklandıqda 409 CARD_BLOCKED qaytarılır</v>
      </c>
      <c r="C123" s="13" t="str">
        <f>'API Test Cases'!B123</f>
        <v>SC-018</v>
      </c>
      <c r="D123" s="13" t="str">
        <f>'API Test Cases'!M123</f>
        <v>Pass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 t="s">
        <v>1817</v>
      </c>
      <c r="BG123" s="16"/>
      <c r="BH123" s="16"/>
      <c r="BI123" s="16" t="s">
        <v>1817</v>
      </c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</row>
    <row r="124" spans="1:110" ht="42" customHeight="1" x14ac:dyDescent="0.3">
      <c r="A124" s="13" t="str">
        <f>'API Test Cases'!A124</f>
        <v>TC_CRD_NEG_041</v>
      </c>
      <c r="B124" s="13" t="str">
        <f>'API Test Cases'!D124</f>
        <v>BLOCKED kart STOLEN ilə bloklandıqda 409 CARD_BLOCKED qaytarılır</v>
      </c>
      <c r="C124" s="13" t="str">
        <f>'API Test Cases'!B124</f>
        <v>SC-018</v>
      </c>
      <c r="D124" s="13" t="str">
        <f>'API Test Cases'!M124</f>
        <v>Pass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 t="s">
        <v>1817</v>
      </c>
      <c r="BG124" s="16"/>
      <c r="BH124" s="16"/>
      <c r="BI124" s="16" t="s">
        <v>1817</v>
      </c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</row>
    <row r="125" spans="1:110" ht="42" customHeight="1" x14ac:dyDescent="0.3">
      <c r="A125" s="13" t="str">
        <f>'API Test Cases'!A125</f>
        <v>TC_CRD_NEG_042</v>
      </c>
      <c r="B125" s="13" t="str">
        <f>'API Test Cases'!D125</f>
        <v>reason icazəli dəyər olmadıqda ("BROKEN") 400 VALIDATION_ERROR qaytarılır</v>
      </c>
      <c r="C125" s="13" t="str">
        <f>'API Test Cases'!B125</f>
        <v>SC-019</v>
      </c>
      <c r="D125" s="13" t="str">
        <f>'API Test Cases'!M125</f>
        <v>Pass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 t="s">
        <v>1817</v>
      </c>
      <c r="BH125" s="16"/>
      <c r="BI125" s="16"/>
      <c r="BJ125" s="16" t="s">
        <v>1817</v>
      </c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</row>
    <row r="126" spans="1:110" ht="42" customHeight="1" x14ac:dyDescent="0.3">
      <c r="A126" s="13" t="str">
        <f>'API Test Cases'!A126</f>
        <v>TC_CRD_NEG_043</v>
      </c>
      <c r="B126" s="13" t="str">
        <f>'API Test Cases'!D126</f>
        <v>reason göndərilmədikdə (body {}) 400 VALIDATION_ERROR qaytarılır</v>
      </c>
      <c r="C126" s="13" t="str">
        <f>'API Test Cases'!B126</f>
        <v>SC-019</v>
      </c>
      <c r="D126" s="13" t="str">
        <f>'API Test Cases'!M126</f>
        <v>Pass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 t="s">
        <v>1817</v>
      </c>
      <c r="BH126" s="16"/>
      <c r="BI126" s="16"/>
      <c r="BJ126" s="16" t="s">
        <v>1817</v>
      </c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</row>
    <row r="127" spans="1:110" ht="42" customHeight="1" x14ac:dyDescent="0.3">
      <c r="A127" s="13" t="str">
        <f>'API Test Cases'!A127</f>
        <v>TC_CRD_NEG_044</v>
      </c>
      <c r="B127" s="13" t="str">
        <f>'API Test Cases'!D127</f>
        <v>reason kiçik hərflə ("temporary") göndərildikdə 400 VALIDATION_ERROR qaytarılır</v>
      </c>
      <c r="C127" s="13" t="str">
        <f>'API Test Cases'!B127</f>
        <v>SC-019</v>
      </c>
      <c r="D127" s="13" t="str">
        <f>'API Test Cases'!M127</f>
        <v>Pass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 t="s">
        <v>1817</v>
      </c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</row>
    <row r="128" spans="1:110" ht="42" customHeight="1" x14ac:dyDescent="0.3">
      <c r="A128" s="13" t="str">
        <f>'API Test Cases'!A128</f>
        <v>TC_CRD_NEG_045</v>
      </c>
      <c r="B128" s="13" t="str">
        <f>'API Test Cases'!D128</f>
        <v>Body ümumiyyətlə göndərilmədikdə 400 INVALID_JSON qaytarılır</v>
      </c>
      <c r="C128" s="13" t="str">
        <f>'API Test Cases'!B128</f>
        <v>SC-019</v>
      </c>
      <c r="D128" s="13" t="str">
        <f>'API Test Cases'!M128</f>
        <v>Pass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 t="s">
        <v>1817</v>
      </c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</row>
    <row r="129" spans="1:110" ht="42" customHeight="1" x14ac:dyDescent="0.3">
      <c r="A129" s="13" t="str">
        <f>'API Test Cases'!A129</f>
        <v>TC_CRD_EDGE_046</v>
      </c>
      <c r="B129" s="13" t="str">
        <f>'API Test Cases'!D129</f>
        <v>Mövcud olmayan kart + icazəsiz reason olduqda 400 VALIDATION_ERROR qaytarılır (404 deyil)</v>
      </c>
      <c r="C129" s="13" t="str">
        <f>'API Test Cases'!B129</f>
        <v>SC-019</v>
      </c>
      <c r="D129" s="13" t="str">
        <f>'API Test Cases'!M129</f>
        <v>Pass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 t="s">
        <v>1817</v>
      </c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</row>
    <row r="130" spans="1:110" ht="42" customHeight="1" x14ac:dyDescent="0.3">
      <c r="A130" s="13" t="str">
        <f>'API Test Cases'!A130</f>
        <v>TC_CRD_EDGE_047</v>
      </c>
      <c r="B130" s="13" t="str">
        <f>'API Test Cases'!D130</f>
        <v>BLOCKED kart + icazəsiz reason olduqda 400 VALIDATION_ERROR qaytarılır (409 CARD_BLOCKED deyil)</v>
      </c>
      <c r="C130" s="13" t="str">
        <f>'API Test Cases'!B130</f>
        <v>SC-019</v>
      </c>
      <c r="D130" s="13" t="str">
        <f>'API Test Cases'!M130</f>
        <v>Pass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 t="s">
        <v>1817</v>
      </c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</row>
    <row r="131" spans="1:110" ht="42" customHeight="1" x14ac:dyDescent="0.3">
      <c r="A131" s="13" t="str">
        <f>'API Test Cases'!A131</f>
        <v>TC_CRD_NEG_048</v>
      </c>
      <c r="B131" s="13" t="str">
        <f>'API Test Cases'!D131</f>
        <v>Mövcud olmayan kart (vcd_zzzzzzzz) bloklanmaq istədikdə 404 NOT_FOUND qaytarılır</v>
      </c>
      <c r="C131" s="13" t="str">
        <f>'API Test Cases'!B131</f>
        <v>SC-020</v>
      </c>
      <c r="D131" s="13" t="str">
        <f>'API Test Cases'!M131</f>
        <v>Pass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 t="s">
        <v>1817</v>
      </c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</row>
    <row r="132" spans="1:110" ht="42" customHeight="1" x14ac:dyDescent="0.3">
      <c r="A132" s="13" t="str">
        <f>'API Test Cases'!A132</f>
        <v>TC_CRD_EDGE_049</v>
      </c>
      <c r="B132" s="13" t="str">
        <f>'API Test Cases'!D132</f>
        <v>user2 user1-in kartını bloklamağa çalışdıqda 404 NOT_FOUND qaytarılır və kart ACTIVE qalır</v>
      </c>
      <c r="C132" s="13" t="str">
        <f>'API Test Cases'!B132</f>
        <v>SC-020</v>
      </c>
      <c r="D132" s="13" t="str">
        <f>'API Test Cases'!M132</f>
        <v>Pass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 t="s">
        <v>1817</v>
      </c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</row>
    <row r="133" spans="1:110" ht="42" customHeight="1" x14ac:dyDescent="0.3">
      <c r="A133" s="13" t="str">
        <f>'API Test Cases'!A133</f>
        <v>TC_CRD_NEG_050</v>
      </c>
      <c r="B133" s="13" t="str">
        <f>'API Test Cases'!D133</f>
        <v>Token olmadan və ya saxta tokenlə bloklama sorğusunda 401 qaytarılır</v>
      </c>
      <c r="C133" s="13" t="str">
        <f>'API Test Cases'!B133</f>
        <v>SC-020</v>
      </c>
      <c r="D133" s="13" t="str">
        <f>'API Test Cases'!M133</f>
        <v>Pass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 t="s">
        <v>1817</v>
      </c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</row>
    <row r="134" spans="1:110" ht="42" customHeight="1" x14ac:dyDescent="0.3">
      <c r="A134" s="13" t="str">
        <f>'API Test Cases'!A134</f>
        <v>TC_CRD_POS_051</v>
      </c>
      <c r="B134" s="13" t="str">
        <f>'API Test Cases'!D134</f>
        <v>Dondurulmuş kart GET /cards/{id}-də dərhal FROZEN, blockReason TEMPORARY və eyni blockedAt ilə görünür</v>
      </c>
      <c r="C134" s="13" t="str">
        <f>'API Test Cases'!B134</f>
        <v>SC-020</v>
      </c>
      <c r="D134" s="13" t="str">
        <f>'API Test Cases'!M134</f>
        <v>Pass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 t="s">
        <v>1817</v>
      </c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</row>
    <row r="135" spans="1:110" ht="42" customHeight="1" x14ac:dyDescent="0.3">
      <c r="A135" s="13" t="str">
        <f>'API Test Cases'!A135</f>
        <v>TC_CRD_NEG_052</v>
      </c>
      <c r="B135" s="13" t="str">
        <f>'API Test Cases'!D135</f>
        <v>FROZEN kartla ödəniş edildikdə 422 CARD_NOT_ACTIVE qaytarılır</v>
      </c>
      <c r="C135" s="13" t="str">
        <f>'API Test Cases'!B135</f>
        <v>SC-020</v>
      </c>
      <c r="D135" s="13" t="str">
        <f>'API Test Cases'!M135</f>
        <v>Pass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 t="s">
        <v>1817</v>
      </c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 t="s">
        <v>1817</v>
      </c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</row>
    <row r="136" spans="1:110" ht="42" customHeight="1" x14ac:dyDescent="0.3">
      <c r="A136" s="13" t="str">
        <f>'API Test Cases'!A136</f>
        <v>TC_CRD_NEG_053</v>
      </c>
      <c r="B136" s="13" t="str">
        <f>'API Test Cases'!D136</f>
        <v>BLOCKED kartla ödəniş edildikdə 422 CARD_NOT_ACTIVE qaytarılır</v>
      </c>
      <c r="C136" s="13" t="str">
        <f>'API Test Cases'!B136</f>
        <v>SC-020</v>
      </c>
      <c r="D136" s="13" t="str">
        <f>'API Test Cases'!M136</f>
        <v>Pass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 t="s">
        <v>1817</v>
      </c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 t="s">
        <v>1817</v>
      </c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</row>
    <row r="137" spans="1:110" ht="42" customHeight="1" x14ac:dyDescent="0.3">
      <c r="A137" s="13" t="str">
        <f>'API Test Cases'!A137</f>
        <v>TC_CRD_POS_054</v>
      </c>
      <c r="B137" s="13" t="str">
        <f>'API Test Cases'!D137</f>
        <v>FROZEN kart açıldıqda 200: status ACTIVE, blockReason və blockedAt null</v>
      </c>
      <c r="C137" s="13" t="str">
        <f>'API Test Cases'!B137</f>
        <v>SC-021</v>
      </c>
      <c r="D137" s="13" t="str">
        <f>'API Test Cases'!M137</f>
        <v>Pass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 t="s">
        <v>1817</v>
      </c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</row>
    <row r="138" spans="1:110" ht="42" customHeight="1" x14ac:dyDescent="0.3">
      <c r="A138" s="13" t="str">
        <f>'API Test Cases'!A138</f>
        <v>TC_CRD_NEG_055</v>
      </c>
      <c r="B138" s="13" t="str">
        <f>'API Test Cases'!D138</f>
        <v>ACTIVE kart açılmaq istədikdə 409 NOT_FROZEN qaytarılır</v>
      </c>
      <c r="C138" s="13" t="str">
        <f>'API Test Cases'!B138</f>
        <v>SC-021</v>
      </c>
      <c r="D138" s="13" t="str">
        <f>'API Test Cases'!M138</f>
        <v>Pass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 t="s">
        <v>1817</v>
      </c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</row>
    <row r="139" spans="1:110" ht="42" customHeight="1" x14ac:dyDescent="0.3">
      <c r="A139" s="13" t="str">
        <f>'API Test Cases'!A139</f>
        <v>TC_CRD_NEG_056</v>
      </c>
      <c r="B139" s="13" t="str">
        <f>'API Test Cases'!D139</f>
        <v>LOST ilə bloklanmış kart açılmaq istədikdə 409 PERMANENTLY_BLOCKED qaytarılır</v>
      </c>
      <c r="C139" s="13" t="str">
        <f>'API Test Cases'!B139</f>
        <v>SC-021</v>
      </c>
      <c r="D139" s="13" t="str">
        <f>'API Test Cases'!M139</f>
        <v>Pass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 t="s">
        <v>1817</v>
      </c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</row>
    <row r="140" spans="1:110" ht="42" customHeight="1" x14ac:dyDescent="0.3">
      <c r="A140" s="13" t="str">
        <f>'API Test Cases'!A140</f>
        <v>TC_CRD_NEG_057</v>
      </c>
      <c r="B140" s="13" t="str">
        <f>'API Test Cases'!D140</f>
        <v>Əvvəl dondurulub sonra STOLEN ilə bloklanmış kart açılmaq istədikdə 409 PERMANENTLY_BLOCKED qaytarılır</v>
      </c>
      <c r="C140" s="13" t="str">
        <f>'API Test Cases'!B140</f>
        <v>SC-021</v>
      </c>
      <c r="D140" s="13" t="str">
        <f>'API Test Cases'!M140</f>
        <v>Pass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 t="s">
        <v>1817</v>
      </c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</row>
    <row r="141" spans="1:110" ht="42" customHeight="1" x14ac:dyDescent="0.3">
      <c r="A141" s="13" t="str">
        <f>'API Test Cases'!A141</f>
        <v>TC_CRD_EDGE_058</v>
      </c>
      <c r="B141" s="13" t="str">
        <f>'API Test Cases'!D141</f>
        <v>Açılmış kart yenidən dondurula bilir (FROZEN → ACTIVE → FROZEN dövrü)</v>
      </c>
      <c r="C141" s="13" t="str">
        <f>'API Test Cases'!B141</f>
        <v>SC-021</v>
      </c>
      <c r="D141" s="13" t="str">
        <f>'API Test Cases'!M141</f>
        <v>Pass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 t="s">
        <v>1817</v>
      </c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</row>
    <row r="142" spans="1:110" ht="42" customHeight="1" x14ac:dyDescent="0.3">
      <c r="A142" s="13" t="str">
        <f>'API Test Cases'!A142</f>
        <v>TC_CRD_POS_059</v>
      </c>
      <c r="B142" s="13" t="str">
        <f>'API Test Cases'!D142</f>
        <v>Açılmış kart GET /cards/{id}-də ACTIVE, null blockReason/blockedAt və dəyişməmiş balansla görünür</v>
      </c>
      <c r="C142" s="13" t="str">
        <f>'API Test Cases'!B142</f>
        <v>SC-021</v>
      </c>
      <c r="D142" s="13" t="str">
        <f>'API Test Cases'!M142</f>
        <v>Pass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 t="s">
        <v>1817</v>
      </c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</row>
    <row r="143" spans="1:110" ht="42" customHeight="1" x14ac:dyDescent="0.3">
      <c r="A143" s="13" t="str">
        <f>'API Test Cases'!A143</f>
        <v>TC_CRD_NEG_060</v>
      </c>
      <c r="B143" s="13" t="str">
        <f>'API Test Cases'!D143</f>
        <v>Mövcud olmayan kart (vcd_zzzzzzzz) açılmaq istədikdə 404 NOT_FOUND qaytarılır</v>
      </c>
      <c r="C143" s="13" t="str">
        <f>'API Test Cases'!B143</f>
        <v>SC-021</v>
      </c>
      <c r="D143" s="13" t="str">
        <f>'API Test Cases'!M143</f>
        <v>Pass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 t="s">
        <v>1817</v>
      </c>
      <c r="BR143" s="16" t="s">
        <v>1817</v>
      </c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</row>
    <row r="144" spans="1:110" ht="42" customHeight="1" x14ac:dyDescent="0.3">
      <c r="A144" s="13" t="str">
        <f>'API Test Cases'!A144</f>
        <v>TC_CRD_EDGE_061</v>
      </c>
      <c r="B144" s="13" t="str">
        <f>'API Test Cases'!D144</f>
        <v>user2 user1-in dondurulmuş kartını açmağa çalışdıqda 404 NOT_FOUND qaytarılır</v>
      </c>
      <c r="C144" s="13" t="str">
        <f>'API Test Cases'!B144</f>
        <v>SC-021</v>
      </c>
      <c r="D144" s="13" t="str">
        <f>'API Test Cases'!M144</f>
        <v>Pass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 t="s">
        <v>1817</v>
      </c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</row>
    <row r="145" spans="1:110" ht="42" customHeight="1" x14ac:dyDescent="0.3">
      <c r="A145" s="13" t="str">
        <f>'API Test Cases'!A145</f>
        <v>TC_CRD_NEG_062</v>
      </c>
      <c r="B145" s="13" t="str">
        <f>'API Test Cases'!D145</f>
        <v>Token olmadan və ya saxta tokenlə kart açma sorğusunda 401 qaytarılır</v>
      </c>
      <c r="C145" s="13" t="str">
        <f>'API Test Cases'!B145</f>
        <v>SC-021</v>
      </c>
      <c r="D145" s="13" t="str">
        <f>'API Test Cases'!M145</f>
        <v>Pass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 t="s">
        <v>1817</v>
      </c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</row>
    <row r="146" spans="1:110" ht="42" customHeight="1" x14ac:dyDescent="0.3">
      <c r="A146" s="13" t="str">
        <f>'API Test Cases'!A146</f>
        <v>TC_CRD_POS_063</v>
      </c>
      <c r="B146" s="13" t="str">
        <f>'API Test Cases'!D146</f>
        <v>Açılmış kartla ödəniş uğurla keçir (201)</v>
      </c>
      <c r="C146" s="13" t="str">
        <f>'API Test Cases'!B146</f>
        <v>SC-021</v>
      </c>
      <c r="D146" s="13" t="str">
        <f>'API Test Cases'!M146</f>
        <v>Pass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 t="s">
        <v>1817</v>
      </c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</row>
    <row r="147" spans="1:110" ht="42" customHeight="1" x14ac:dyDescent="0.3">
      <c r="A147" s="13" t="str">
        <f>'API Test Cases'!A147</f>
        <v>TC_PAY_POS_001</v>
      </c>
      <c r="B147" s="13" t="str">
        <f>'API Test Cases'!D147</f>
        <v>Parametrsiz sorğuda 200, total 6 və hər təchizatçıda subscriberPattern, minAmount, maxAmount, fee qaytarılır</v>
      </c>
      <c r="C147" s="13" t="str">
        <f>'API Test Cases'!B147</f>
        <v>SC-022</v>
      </c>
      <c r="D147" s="13" t="str">
        <f>'API Test Cases'!M147</f>
        <v>Pass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 t="s">
        <v>1817</v>
      </c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</row>
    <row r="148" spans="1:110" ht="42" customHeight="1" x14ac:dyDescent="0.3">
      <c r="A148" s="13" t="str">
        <f>'API Test Cases'!A148</f>
        <v>TC_PAY_POS_002</v>
      </c>
      <c r="B148" s="13" t="str">
        <f>'API Test Cases'!D148</f>
        <v>Hər təchizatçının kateqoriyası və məbləğ aralığı (minAmount–maxAmount) sənəddəki kataloqla eynidir</v>
      </c>
      <c r="C148" s="13" t="str">
        <f>'API Test Cases'!B148</f>
        <v>SC-022</v>
      </c>
      <c r="D148" s="13" t="str">
        <f>'API Test Cases'!M148</f>
        <v>Pass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 t="s">
        <v>1817</v>
      </c>
      <c r="BT148" s="16"/>
      <c r="BU148" s="16"/>
      <c r="BV148" s="16" t="s">
        <v>1817</v>
      </c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</row>
    <row r="149" spans="1:110" ht="42" customHeight="1" x14ac:dyDescent="0.3">
      <c r="A149" s="13" t="str">
        <f>'API Test Cases'!A149</f>
        <v>TC_PAY_POS_003</v>
      </c>
      <c r="B149" s="13" t="str">
        <f>'API Test Cases'!D149</f>
        <v>Komissiya qaydası sənədə uyğundur: CityNet 1% (min 0.20, max 2.00), Aztelekom 0.50 sabit, digərlərində komissiya yoxdur</v>
      </c>
      <c r="C149" s="13" t="str">
        <f>'API Test Cases'!B149</f>
        <v>SC-022</v>
      </c>
      <c r="D149" s="13" t="str">
        <f>'API Test Cases'!M149</f>
        <v>Pass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 t="s">
        <v>1817</v>
      </c>
      <c r="BT149" s="16"/>
      <c r="BU149" s="16"/>
      <c r="BV149" s="16" t="s">
        <v>1817</v>
      </c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</row>
    <row r="150" spans="1:110" ht="42" customHeight="1" x14ac:dyDescent="0.3">
      <c r="A150" s="13" t="str">
        <f>'API Test Cases'!A150</f>
        <v>TC_PAY_POS_004</v>
      </c>
      <c r="B150" s="13" t="str">
        <f>'API Test Cases'!D150</f>
        <v>Hər təchizatçının subscriberPattern regex-i sənəddəki formata uyğun nömrələri qəbul, uyğun olmayanları rədd edir</v>
      </c>
      <c r="C150" s="13" t="str">
        <f>'API Test Cases'!B150</f>
        <v>SC-022</v>
      </c>
      <c r="D150" s="13" t="str">
        <f>'API Test Cases'!M150</f>
        <v>Pass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 t="s">
        <v>1817</v>
      </c>
      <c r="BT150" s="16"/>
      <c r="BU150" s="16"/>
      <c r="BV150" s="16" t="s">
        <v>1817</v>
      </c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</row>
    <row r="151" spans="1:110" ht="42" customHeight="1" x14ac:dyDescent="0.3">
      <c r="A151" s="13" t="str">
        <f>'API Test Cases'!A151</f>
        <v>TC_PAY_POS_005</v>
      </c>
      <c r="B151" s="13" t="str">
        <f>'API Test Cases'!D151</f>
        <v>category=MOBILE olduqda yalnız Azercell və Bakcell qaytarılır</v>
      </c>
      <c r="C151" s="13" t="str">
        <f>'API Test Cases'!B151</f>
        <v>SC-022</v>
      </c>
      <c r="D151" s="13" t="str">
        <f>'API Test Cases'!M151</f>
        <v>Pass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 t="s">
        <v>1817</v>
      </c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</row>
    <row r="152" spans="1:110" ht="42" customHeight="1" x14ac:dyDescent="0.3">
      <c r="A152" s="13" t="str">
        <f>'API Test Cases'!A152</f>
        <v>TC_PAY_POS_006</v>
      </c>
      <c r="B152" s="13" t="str">
        <f>'API Test Cases'!D152</f>
        <v>category=UTILITY və category=INTERNET olduqda yalnız həmin kateqoriyanın 2 təchizatçısı qaytarılır</v>
      </c>
      <c r="C152" s="13" t="str">
        <f>'API Test Cases'!B152</f>
        <v>SC-022</v>
      </c>
      <c r="D152" s="13" t="str">
        <f>'API Test Cases'!M152</f>
        <v>Pass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 t="s">
        <v>1817</v>
      </c>
      <c r="BU152" s="16"/>
      <c r="BV152" s="16"/>
      <c r="BW152" s="16" t="s">
        <v>1817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</row>
    <row r="153" spans="1:110" ht="42" customHeight="1" x14ac:dyDescent="0.3">
      <c r="A153" s="13" t="str">
        <f>'API Test Cases'!A153</f>
        <v>TC_PAY_NEG_007</v>
      </c>
      <c r="B153" s="13" t="str">
        <f>'API Test Cases'!D153</f>
        <v>category icazəli dəyər olmadıqda ("GAS") 400 VALIDATION_ERROR qaytarılır</v>
      </c>
      <c r="C153" s="13" t="str">
        <f>'API Test Cases'!B153</f>
        <v>SC-022</v>
      </c>
      <c r="D153" s="13" t="str">
        <f>'API Test Cases'!M153</f>
        <v>Pass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 t="s">
        <v>1817</v>
      </c>
      <c r="BV153" s="16"/>
      <c r="BW153" s="16"/>
      <c r="BX153" s="16" t="s">
        <v>1817</v>
      </c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</row>
    <row r="154" spans="1:110" ht="42" customHeight="1" x14ac:dyDescent="0.3">
      <c r="A154" s="13" t="str">
        <f>'API Test Cases'!A154</f>
        <v>TC_PAY_NEG_008</v>
      </c>
      <c r="B154" s="13" t="str">
        <f>'API Test Cases'!D154</f>
        <v>category kiçik hərflə ("mobile") göndərildikdə 400 VALIDATION_ERROR qaytarılır</v>
      </c>
      <c r="C154" s="13" t="str">
        <f>'API Test Cases'!B154</f>
        <v>SC-022</v>
      </c>
      <c r="D154" s="13" t="str">
        <f>'API Test Cases'!M154</f>
        <v>Pass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 t="s">
        <v>1817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</row>
    <row r="155" spans="1:110" ht="42" customHeight="1" x14ac:dyDescent="0.3">
      <c r="A155" s="13" t="str">
        <f>'API Test Cases'!A155</f>
        <v>TC_PAY_NEG_009</v>
      </c>
      <c r="B155" s="13" t="str">
        <f>'API Test Cases'!D155</f>
        <v>Token olmadan və ya saxta tokenlə kataloq istədikdə 401 qaytarılır</v>
      </c>
      <c r="C155" s="13" t="str">
        <f>'API Test Cases'!B155</f>
        <v>SC-022</v>
      </c>
      <c r="D155" s="13" t="str">
        <f>'API Test Cases'!M155</f>
        <v>Pass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 t="s">
        <v>1817</v>
      </c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</row>
    <row r="156" spans="1:110" ht="42" customHeight="1" x14ac:dyDescent="0.3">
      <c r="A156" s="13" t="str">
        <f>'API Test Cases'!A156</f>
        <v>TC_PAY_POS_010</v>
      </c>
      <c r="B156" s="13" t="str">
        <f>'API Test Cases'!D156</f>
        <v>Etibarlı ödənişdə 201: status SUCCESS, fee 0.50, total = amount + fee, balanceAfter = balans − total, Location header</v>
      </c>
      <c r="C156" s="13" t="str">
        <f>'API Test Cases'!B156</f>
        <v>SC-023</v>
      </c>
      <c r="D156" s="13" t="str">
        <f>'API Test Cases'!M156</f>
        <v>Pass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 t="s">
        <v>1817</v>
      </c>
      <c r="BZ156" s="16"/>
      <c r="CA156" s="16"/>
      <c r="CB156" s="16"/>
      <c r="CC156" s="16"/>
      <c r="CD156" s="16"/>
      <c r="CE156" s="16"/>
      <c r="CF156" s="16"/>
      <c r="CG156" s="16" t="s">
        <v>1817</v>
      </c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</row>
    <row r="157" spans="1:110" ht="42" customHeight="1" x14ac:dyDescent="0.3">
      <c r="A157" s="13" t="str">
        <f>'API Test Cases'!A157</f>
        <v>TC_PAY_POS_011</v>
      </c>
      <c r="B157" s="13" t="str">
        <f>'API Test Cases'!D157</f>
        <v>Ödənişdən sonra GET /cards/{id}-də availableBalance və spentToday total (50.50) qədər dəyişir — amount (50) qədər yox</v>
      </c>
      <c r="C157" s="13" t="str">
        <f>'API Test Cases'!B157</f>
        <v>SC-023</v>
      </c>
      <c r="D157" s="13" t="str">
        <f>'API Test Cases'!M157</f>
        <v>Pass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 t="s">
        <v>1817</v>
      </c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 t="s">
        <v>1817</v>
      </c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</row>
    <row r="158" spans="1:110" ht="42" customHeight="1" x14ac:dyDescent="0.3">
      <c r="A158" s="13" t="str">
        <f>'API Test Cases'!A158</f>
        <v>TC_PAY_POS_012</v>
      </c>
      <c r="B158" s="13" t="str">
        <f>'API Test Cases'!D158</f>
        <v>Sandbox-da ilk ödənişin qəbzi RCP-YYYYMMDD-000001, növbəti ödənişinki RCP-YYYYMMDD-000002 olur</v>
      </c>
      <c r="C158" s="13" t="str">
        <f>'API Test Cases'!B158</f>
        <v>SC-023</v>
      </c>
      <c r="D158" s="13" t="str">
        <f>'API Test Cases'!M158</f>
        <v>Pass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 t="s">
        <v>1817</v>
      </c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</row>
    <row r="159" spans="1:110" ht="42" customHeight="1" x14ac:dyDescent="0.3">
      <c r="A159" s="13" t="str">
        <f>'API Test Cases'!A159</f>
        <v>TC_PAY_BVA_013</v>
      </c>
      <c r="B159" s="13" t="str">
        <f>'API Test Cases'!D159</f>
        <v>CityNet komissiyası 1%, min 0.20: 5 → 0.20, 20 → 0.20, 21 → 0.21, 150 → 1.50</v>
      </c>
      <c r="C159" s="13" t="str">
        <f>'API Test Cases'!B159</f>
        <v>SC-023</v>
      </c>
      <c r="D159" s="13" t="str">
        <f>'API Test Cases'!M159</f>
        <v>Pass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 t="s">
        <v>1817</v>
      </c>
      <c r="CH159" s="16"/>
      <c r="CI159" s="16"/>
      <c r="CJ159" s="16"/>
      <c r="CK159" s="16"/>
      <c r="CL159" s="16"/>
      <c r="CM159" s="16"/>
      <c r="CN159" s="16" t="s">
        <v>1817</v>
      </c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</row>
    <row r="160" spans="1:110" ht="42" customHeight="1" x14ac:dyDescent="0.3">
      <c r="A160" s="13" t="str">
        <f>'API Test Cases'!A160</f>
        <v>TC_PAY_EDGE_014</v>
      </c>
      <c r="B160" s="13" t="str">
        <f>'API Test Cases'!D160</f>
        <v>CityNet 20.50 AZN üçün komissiya 0.205 yuxarı yuvarlaqlaşdırılaraq 0.21 olur</v>
      </c>
      <c r="C160" s="13" t="str">
        <f>'API Test Cases'!B160</f>
        <v>SC-023</v>
      </c>
      <c r="D160" s="13" t="str">
        <f>'API Test Cases'!M160</f>
        <v>Pass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 t="s">
        <v>1817</v>
      </c>
      <c r="CH160" s="16"/>
      <c r="CI160" s="16"/>
      <c r="CJ160" s="16"/>
      <c r="CK160" s="16"/>
      <c r="CL160" s="16"/>
      <c r="CM160" s="16"/>
      <c r="CN160" s="16" t="s">
        <v>1817</v>
      </c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</row>
    <row r="161" spans="1:110" ht="42" customHeight="1" x14ac:dyDescent="0.3">
      <c r="A161" s="13" t="str">
        <f>'API Test Cases'!A161</f>
        <v>TC_PAY_POS_015</v>
      </c>
      <c r="B161" s="13" t="str">
        <f>'API Test Cases'!D161</f>
        <v>Aztelekom komissiyası məbləğdən asılı olmayaraq 0.50 sabitdir (2 AZN və 100 AZN)</v>
      </c>
      <c r="C161" s="13" t="str">
        <f>'API Test Cases'!B161</f>
        <v>SC-023</v>
      </c>
      <c r="D161" s="13" t="str">
        <f>'API Test Cases'!M161</f>
        <v>Pass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 t="s">
        <v>1817</v>
      </c>
      <c r="CI161" s="16"/>
      <c r="CJ161" s="16"/>
      <c r="CK161" s="16"/>
      <c r="CL161" s="16"/>
      <c r="CM161" s="16"/>
      <c r="CN161" s="16" t="s">
        <v>1817</v>
      </c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</row>
    <row r="162" spans="1:110" ht="42" customHeight="1" x14ac:dyDescent="0.3">
      <c r="A162" s="13" t="str">
        <f>'API Test Cases'!A162</f>
        <v>TC_PAY_POS_016</v>
      </c>
      <c r="B162" s="13" t="str">
        <f>'API Test Cases'!D162</f>
        <v>Komissiyası olmayan təchizatçılarda (Azərişıq, Azərsu, Azercell, Bakcell) fee 0 və total = amount olur</v>
      </c>
      <c r="C162" s="13" t="str">
        <f>'API Test Cases'!B162</f>
        <v>SC-023</v>
      </c>
      <c r="D162" s="13" t="str">
        <f>'API Test Cases'!M162</f>
        <v>Pass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 t="s">
        <v>1817</v>
      </c>
      <c r="CO162" s="16"/>
      <c r="CP162" s="16" t="s">
        <v>1817</v>
      </c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</row>
    <row r="163" spans="1:110" ht="42" customHeight="1" x14ac:dyDescent="0.3">
      <c r="A163" s="13" t="str">
        <f>'API Test Cases'!A163</f>
        <v>TC_PAY_POS_017</v>
      </c>
      <c r="B163" s="13" t="str">
        <f>'API Test Cases'!D163</f>
        <v>Eyni Idempotency-Key və eyni body təkrar göndərildikdə 200, eyni id və Idempotent-Replay: true qaytarılır</v>
      </c>
      <c r="C163" s="13" t="str">
        <f>'API Test Cases'!B163</f>
        <v>SC-024</v>
      </c>
      <c r="D163" s="13" t="str">
        <f>'API Test Cases'!M163</f>
        <v>Pass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 t="s">
        <v>1817</v>
      </c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 t="s">
        <v>1817</v>
      </c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</row>
    <row r="164" spans="1:110" ht="42" customHeight="1" x14ac:dyDescent="0.3">
      <c r="A164" s="13" t="str">
        <f>'API Test Cases'!A164</f>
        <v>TC_PAY_POS_018</v>
      </c>
      <c r="B164" s="13" t="str">
        <f>'API Test Cases'!D164</f>
        <v>Təkrar (replay) sorğudan sonra kartın balansı yalnız bir dəfə azalmış olur</v>
      </c>
      <c r="C164" s="13" t="str">
        <f>'API Test Cases'!B164</f>
        <v>SC-024</v>
      </c>
      <c r="D164" s="13" t="str">
        <f>'API Test Cases'!M164</f>
        <v>Pass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 t="s">
        <v>1817</v>
      </c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</row>
    <row r="165" spans="1:110" ht="42" customHeight="1" x14ac:dyDescent="0.3">
      <c r="A165" s="13" t="str">
        <f>'API Test Cases'!A165</f>
        <v>TC_PAY_NEG_019</v>
      </c>
      <c r="B165" s="13" t="str">
        <f>'API Test Cases'!D165</f>
        <v>Eyni Idempotency-Key fərqli məbləğlə göndərildikdə 409 IDEMPOTENCY_CONFLICT qaytarılır</v>
      </c>
      <c r="C165" s="13" t="str">
        <f>'API Test Cases'!B165</f>
        <v>SC-024</v>
      </c>
      <c r="D165" s="13" t="str">
        <f>'API Test Cases'!M165</f>
        <v>Pass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 t="s">
        <v>1817</v>
      </c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</row>
    <row r="166" spans="1:110" ht="42" customHeight="1" x14ac:dyDescent="0.3">
      <c r="A166" s="13" t="str">
        <f>'API Test Cases'!A166</f>
        <v>TC_PAY_NEG_020</v>
      </c>
      <c r="B166" s="13" t="str">
        <f>'API Test Cases'!D166</f>
        <v>Idempotency-Key header-i olmadıqda 400 IDEMPOTENCY_KEY_REQUIRED qaytarılır</v>
      </c>
      <c r="C166" s="13" t="str">
        <f>'API Test Cases'!B166</f>
        <v>SC-024</v>
      </c>
      <c r="D166" s="13" t="str">
        <f>'API Test Cases'!M166</f>
        <v>Pass</v>
      </c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 t="s">
        <v>1817</v>
      </c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 t="s">
        <v>1817</v>
      </c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</row>
    <row r="167" spans="1:110" ht="42" customHeight="1" x14ac:dyDescent="0.3">
      <c r="A167" s="13" t="str">
        <f>'API Test Cases'!A167</f>
        <v>TC_PAY_BVA_021</v>
      </c>
      <c r="B167" s="13" t="str">
        <f>'API Test Cases'!D167</f>
        <v>Idempotency-Key 7 simvol (min − 1) və 65 simvol (max + 1) olduqda 400 IDEMPOTENCY_KEY_INVALID qaytarılır</v>
      </c>
      <c r="C167" s="13" t="str">
        <f>'API Test Cases'!B167</f>
        <v>SC-024</v>
      </c>
      <c r="D167" s="13" t="str">
        <f>'API Test Cases'!M167</f>
        <v>Pass</v>
      </c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 t="s">
        <v>1817</v>
      </c>
      <c r="CP167" s="16"/>
      <c r="CQ167" s="16" t="s">
        <v>1817</v>
      </c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</row>
    <row r="168" spans="1:110" ht="42" customHeight="1" x14ac:dyDescent="0.3">
      <c r="A168" s="13" t="str">
        <f>'API Test Cases'!A168</f>
        <v>TC_PAY_BVA_022</v>
      </c>
      <c r="B168" s="13" t="str">
        <f>'API Test Cases'!D168</f>
        <v>Idempotency-Key 8 simvol (min) və 64 simvol (max) olduqda ödəniş qəbul edilir</v>
      </c>
      <c r="C168" s="13" t="str">
        <f>'API Test Cases'!B168</f>
        <v>SC-024</v>
      </c>
      <c r="D168" s="13" t="str">
        <f>'API Test Cases'!M168</f>
        <v>Pass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 t="s">
        <v>1817</v>
      </c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</row>
    <row r="169" spans="1:110" ht="42" customHeight="1" x14ac:dyDescent="0.3">
      <c r="A169" s="13" t="str">
        <f>'API Test Cases'!A169</f>
        <v>TC_PAY_EDGE_023</v>
      </c>
      <c r="B169" s="13" t="str">
        <f>'API Test Cases'!D169</f>
        <v>Uğursuz (422) sorğunun açarı ilə düzəldilmiş sorğu göndərildikdə 201 qaytarılır (açar istifadə olunmayıb)</v>
      </c>
      <c r="C169" s="13" t="str">
        <f>'API Test Cases'!B169</f>
        <v>SC-024</v>
      </c>
      <c r="D169" s="13" t="str">
        <f>'API Test Cases'!M169</f>
        <v>Pass</v>
      </c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 t="s">
        <v>1817</v>
      </c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 t="s">
        <v>1817</v>
      </c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</row>
    <row r="170" spans="1:110" ht="42" customHeight="1" x14ac:dyDescent="0.3">
      <c r="A170" s="13" t="str">
        <f>'API Test Cases'!A170</f>
        <v>TC_PAY_EDGE_024</v>
      </c>
      <c r="B170" s="13" t="str">
        <f>'API Test Cases'!D170</f>
        <v>Eyni body fərqli açarlarla göndərildikdə iki ayrı ödəniş yaranır və balans iki dəfə azalır</v>
      </c>
      <c r="C170" s="13" t="str">
        <f>'API Test Cases'!B170</f>
        <v>SC-024</v>
      </c>
      <c r="D170" s="13" t="str">
        <f>'API Test Cases'!M170</f>
        <v>Pass</v>
      </c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 t="s">
        <v>1817</v>
      </c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 t="s">
        <v>1817</v>
      </c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</row>
    <row r="171" spans="1:110" ht="42" customHeight="1" x14ac:dyDescent="0.3">
      <c r="A171" s="13" t="str">
        <f>'API Test Cases'!A171</f>
        <v>TC_PAY_NEG_025</v>
      </c>
      <c r="B171" s="13" t="str">
        <f>'API Test Cases'!D171</f>
        <v>amount mətn kimi ("10") göndərildikdə 400 VALIDATION_ERROR qaytarılır</v>
      </c>
      <c r="C171" s="13" t="str">
        <f>'API Test Cases'!B171</f>
        <v>SC-025</v>
      </c>
      <c r="D171" s="13" t="str">
        <f>'API Test Cases'!M171</f>
        <v>Pass</v>
      </c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 t="s">
        <v>1817</v>
      </c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</row>
    <row r="172" spans="1:110" ht="42" customHeight="1" x14ac:dyDescent="0.3">
      <c r="A172" s="13" t="str">
        <f>'API Test Cases'!A172</f>
        <v>TC_PAY_NEG_026</v>
      </c>
      <c r="B172" s="13" t="str">
        <f>'API Test Cases'!D172</f>
        <v>amount 0, mənfi (−5) və ya 3 onluqlu (10.555) olduqda 400 VALIDATION_ERROR qaytarılır</v>
      </c>
      <c r="C172" s="13" t="str">
        <f>'API Test Cases'!B172</f>
        <v>SC-025</v>
      </c>
      <c r="D172" s="13" t="str">
        <f>'API Test Cases'!M172</f>
        <v>Pass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 t="s">
        <v>1817</v>
      </c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</row>
    <row r="173" spans="1:110" ht="42" customHeight="1" x14ac:dyDescent="0.3">
      <c r="A173" s="13" t="str">
        <f>'API Test Cases'!A173</f>
        <v>TC_PAY_NEG_027</v>
      </c>
      <c r="B173" s="13" t="str">
        <f>'API Test Cases'!D173</f>
        <v>Bütün məcburi sahələr göndərilmədikdə (body {}) details-də hər sahə ayrıca qaytarılır</v>
      </c>
      <c r="C173" s="13" t="str">
        <f>'API Test Cases'!B173</f>
        <v>SC-025</v>
      </c>
      <c r="D173" s="13" t="str">
        <f>'API Test Cases'!M173</f>
        <v>Pass</v>
      </c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 t="s">
        <v>1817</v>
      </c>
      <c r="CQ173" s="16" t="s">
        <v>1817</v>
      </c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</row>
    <row r="174" spans="1:110" ht="42" customHeight="1" x14ac:dyDescent="0.3">
      <c r="A174" s="13" t="str">
        <f>'API Test Cases'!A174</f>
        <v>TC_PAY_NEG_028</v>
      </c>
      <c r="B174" s="13" t="str">
        <f>'API Test Cases'!D174</f>
        <v>Azercell-ə Bakcell nömrəsi (551234567) ilə ödənişdə 422 INVALID_SUBSCRIBER və cavabda expected qaytarılır</v>
      </c>
      <c r="C174" s="13" t="str">
        <f>'API Test Cases'!B174</f>
        <v>SC-025</v>
      </c>
      <c r="D174" s="13" t="str">
        <f>'API Test Cases'!M174</f>
        <v>Pass</v>
      </c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 t="s">
        <v>1817</v>
      </c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 t="s">
        <v>1817</v>
      </c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</row>
    <row r="175" spans="1:110" ht="42" customHeight="1" x14ac:dyDescent="0.3">
      <c r="A175" s="13" t="str">
        <f>'API Test Cases'!A175</f>
        <v>TC_PAY_NEG_029</v>
      </c>
      <c r="B175" s="13" t="str">
        <f>'API Test Cases'!D175</f>
        <v>Abunəçi nömrəsi təchizatçının formatına uymadıqda (Azərişıq 9 rəqəm, CityNet CN + 5 rəqəm, Aztelekom 8 rəqəm) 422 INVALID_SUBSCRIBER qaytarılır</v>
      </c>
      <c r="C175" s="13" t="str">
        <f>'API Test Cases'!B175</f>
        <v>SC-025</v>
      </c>
      <c r="D175" s="13" t="str">
        <f>'API Test Cases'!M175</f>
        <v>Pass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 t="s">
        <v>1817</v>
      </c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</row>
    <row r="176" spans="1:110" ht="42" customHeight="1" x14ac:dyDescent="0.3">
      <c r="A176" s="13" t="str">
        <f>'API Test Cases'!A176</f>
        <v>TC_PAY_BVA_030</v>
      </c>
      <c r="B176" s="13" t="str">
        <f>'API Test Cases'!D176</f>
        <v>Azercell məbləği 0.49 (min − 0.01) və 200.01 (max + 0.01) olduqda 422 AMOUNT_OUT_OF_RANGE qaytarılır</v>
      </c>
      <c r="C176" s="13" t="str">
        <f>'API Test Cases'!B176</f>
        <v>SC-025</v>
      </c>
      <c r="D176" s="13" t="str">
        <f>'API Test Cases'!M176</f>
        <v>Pass</v>
      </c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 t="s">
        <v>1817</v>
      </c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</row>
    <row r="177" spans="1:110" ht="42" customHeight="1" x14ac:dyDescent="0.3">
      <c r="A177" s="13" t="str">
        <f>'API Test Cases'!A177</f>
        <v>TC_PAY_BVA_031</v>
      </c>
      <c r="B177" s="13" t="str">
        <f>'API Test Cases'!D177</f>
        <v>Azercell məbləği 0.50 (min) və 200.00 (max) olduqda ödəniş qəbul edilir</v>
      </c>
      <c r="C177" s="13" t="str">
        <f>'API Test Cases'!B177</f>
        <v>SC-025</v>
      </c>
      <c r="D177" s="13" t="str">
        <f>'API Test Cases'!M177</f>
        <v>Pass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 t="s">
        <v>1817</v>
      </c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</row>
    <row r="178" spans="1:110" ht="42" customHeight="1" x14ac:dyDescent="0.3">
      <c r="A178" s="13" t="str">
        <f>'API Test Cases'!A178</f>
        <v>TC_PAY_NEG_032</v>
      </c>
      <c r="B178" s="13" t="str">
        <f>'API Test Cases'!D178</f>
        <v>Kataloqda olmayan təchizatçı ("gasco") ilə ödənişdə 404 BILLER_NOT_FOUND qaytarılır</v>
      </c>
      <c r="C178" s="13" t="str">
        <f>'API Test Cases'!B178</f>
        <v>SC-025</v>
      </c>
      <c r="D178" s="13" t="str">
        <f>'API Test Cases'!M178</f>
        <v>Pass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 t="s">
        <v>1817</v>
      </c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</row>
    <row r="179" spans="1:110" ht="42" customHeight="1" x14ac:dyDescent="0.3">
      <c r="A179" s="13" t="str">
        <f>'API Test Cases'!A179</f>
        <v>TC_PAY_NEG_033</v>
      </c>
      <c r="B179" s="13" t="str">
        <f>'API Test Cases'!D179</f>
        <v>Body etibarsız JSON olduqda 400 qaytarılır və ödəniş edilmir</v>
      </c>
      <c r="C179" s="13" t="str">
        <f>'API Test Cases'!B179</f>
        <v>SC-025</v>
      </c>
      <c r="D179" s="13" t="str">
        <f>'API Test Cases'!M179</f>
        <v>Pass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 t="s">
        <v>1817</v>
      </c>
      <c r="CR179" s="16" t="s">
        <v>1817</v>
      </c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</row>
    <row r="180" spans="1:110" ht="42" customHeight="1" x14ac:dyDescent="0.3">
      <c r="A180" s="13" t="str">
        <f>'API Test Cases'!A180</f>
        <v>TC_PAY_NEG_034</v>
      </c>
      <c r="B180" s="13" t="str">
        <f>'API Test Cases'!D180</f>
        <v>USD kartı (user2) ilə ödənişdə 422 CURRENCY_NOT_SUPPORTED qaytarılır</v>
      </c>
      <c r="C180" s="13" t="str">
        <f>'API Test Cases'!B180</f>
        <v>SC-026</v>
      </c>
      <c r="D180" s="13" t="str">
        <f>'API Test Cases'!M180</f>
        <v>Pass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 t="s">
        <v>1817</v>
      </c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</row>
    <row r="181" spans="1:110" ht="42" customHeight="1" x14ac:dyDescent="0.3">
      <c r="A181" s="13" t="str">
        <f>'API Test Cases'!A181</f>
        <v>TC_PAY_NEG_035</v>
      </c>
      <c r="B181" s="13" t="str">
        <f>'API Test Cases'!D181</f>
        <v>Mövcud olmayan kartla (vcd_zzzzzzzz) ödənişdə 404 CARD_NOT_FOUND qaytarılır</v>
      </c>
      <c r="C181" s="13" t="str">
        <f>'API Test Cases'!B181</f>
        <v>SC-026</v>
      </c>
      <c r="D181" s="13" t="str">
        <f>'API Test Cases'!M181</f>
        <v>Pass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 t="s">
        <v>1817</v>
      </c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</row>
    <row r="182" spans="1:110" ht="42" customHeight="1" x14ac:dyDescent="0.3">
      <c r="A182" s="13" t="str">
        <f>'API Test Cases'!A182</f>
        <v>TC_PAY_EDGE_036</v>
      </c>
      <c r="B182" s="13" t="str">
        <f>'API Test Cases'!D182</f>
        <v>user2 user1-in kartı ilə ödəniş etməyə çalışdıqda 404 CARD_NOT_FOUND qaytarılır</v>
      </c>
      <c r="C182" s="13" t="str">
        <f>'API Test Cases'!B182</f>
        <v>SC-026</v>
      </c>
      <c r="D182" s="13" t="str">
        <f>'API Test Cases'!M182</f>
        <v>Pass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 t="s">
        <v>1817</v>
      </c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</row>
    <row r="183" spans="1:110" ht="42" customHeight="1" x14ac:dyDescent="0.3">
      <c r="A183" s="13" t="str">
        <f>'API Test Cases'!A183</f>
        <v>TC_PAY_NEG_037</v>
      </c>
      <c r="B183" s="13" t="str">
        <f>'API Test Cases'!D183</f>
        <v>Token olmadan və ya saxta tokenlə ödənişdə 401 qaytarılır</v>
      </c>
      <c r="C183" s="13" t="str">
        <f>'API Test Cases'!B183</f>
        <v>SC-026</v>
      </c>
      <c r="D183" s="13" t="str">
        <f>'API Test Cases'!M183</f>
        <v>Pass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 t="s">
        <v>1817</v>
      </c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</row>
    <row r="184" spans="1:110" ht="42" customHeight="1" x14ac:dyDescent="0.3">
      <c r="A184" s="13" t="str">
        <f>'API Test Cases'!A184</f>
        <v>TC_PAY_EDGE_038</v>
      </c>
      <c r="B184" s="13" t="str">
        <f>'API Test Cases'!D184</f>
        <v>Token və Idempotency-Key olmadıqda 401 qaytarılır (400 IDEMPOTENCY_KEY_REQUIRED deyil)</v>
      </c>
      <c r="C184" s="13" t="str">
        <f>'API Test Cases'!B184</f>
        <v>SC-026</v>
      </c>
      <c r="D184" s="13" t="str">
        <f>'API Test Cases'!M184</f>
        <v>Pass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 t="s">
        <v>1817</v>
      </c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</row>
    <row r="185" spans="1:110" ht="42" customHeight="1" x14ac:dyDescent="0.3">
      <c r="A185" s="13" t="str">
        <f>'API Test Cases'!A185</f>
        <v>TC_PAY_EDGE_039</v>
      </c>
      <c r="B185" s="13" t="str">
        <f>'API Test Cases'!D185</f>
        <v>Idempotency-Key olmadıqda və body etibarsız JSON olduqda 400 IDEMPOTENCY_KEY_REQUIRED qaytarılır</v>
      </c>
      <c r="C185" s="13" t="str">
        <f>'API Test Cases'!B185</f>
        <v>SC-026</v>
      </c>
      <c r="D185" s="13" t="str">
        <f>'API Test Cases'!M185</f>
        <v>Pass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 t="s">
        <v>1817</v>
      </c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</row>
    <row r="186" spans="1:110" ht="42" customHeight="1" x14ac:dyDescent="0.3">
      <c r="A186" s="13" t="str">
        <f>'API Test Cases'!A186</f>
        <v>TC_PAY_EDGE_040</v>
      </c>
      <c r="B186" s="13" t="str">
        <f>'API Test Cases'!D186</f>
        <v>Mövcud olmayan kart və aralıqdan kənar məbləğ birlikdə olduqda 422 AMOUNT_OUT_OF_RANGE qaytarılır (404 deyil)</v>
      </c>
      <c r="C186" s="13" t="str">
        <f>'API Test Cases'!B186</f>
        <v>SC-026</v>
      </c>
      <c r="D186" s="13" t="str">
        <f>'API Test Cases'!M186</f>
        <v>Pass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 t="s">
        <v>1817</v>
      </c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</row>
    <row r="187" spans="1:110" ht="42" customHeight="1" x14ac:dyDescent="0.3">
      <c r="A187" s="13" t="str">
        <f>'API Test Cases'!A187</f>
        <v>TC_PAY_EDGE_041</v>
      </c>
      <c r="B187" s="13" t="str">
        <f>'API Test Cases'!D187</f>
        <v>Dondurulmuş USD kartı ilə ödənişdə 422 CARD_NOT_ACTIVE qaytarılır (CURRENCY_NOT_SUPPORTED deyil)</v>
      </c>
      <c r="C187" s="13" t="str">
        <f>'API Test Cases'!B187</f>
        <v>SC-026</v>
      </c>
      <c r="D187" s="13" t="str">
        <f>'API Test Cases'!M187</f>
        <v>Pass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 t="s">
        <v>1817</v>
      </c>
      <c r="CM187" s="16"/>
      <c r="CN187" s="16"/>
      <c r="CO187" s="16"/>
      <c r="CP187" s="16"/>
      <c r="CQ187" s="16"/>
      <c r="CR187" s="16" t="s">
        <v>1817</v>
      </c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</row>
    <row r="188" spans="1:110" ht="42" customHeight="1" x14ac:dyDescent="0.3">
      <c r="A188" s="13" t="str">
        <f>'API Test Cases'!A188</f>
        <v>TC_PAY_BVA_042</v>
      </c>
      <c r="B188" s="13" t="str">
        <f>'API Test Cases'!D188</f>
        <v>total 300.00 (maksimum) olan ödəniş qəbul edilir</v>
      </c>
      <c r="C188" s="13" t="str">
        <f>'API Test Cases'!B188</f>
        <v>SC-027</v>
      </c>
      <c r="D188" s="13" t="str">
        <f>'API Test Cases'!M188</f>
        <v>Pass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 t="s">
        <v>1817</v>
      </c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</row>
    <row r="189" spans="1:110" ht="42" customHeight="1" x14ac:dyDescent="0.3">
      <c r="A189" s="13" t="str">
        <f>'API Test Cases'!A189</f>
        <v>TC_PAY_BVA_043</v>
      </c>
      <c r="B189" s="13" t="str">
        <f>'API Test Cases'!D189</f>
        <v>total 300.01 (maksimum + 0.01) olan ödənişdə 422 PER_TRANSACTION_LIMIT qaytarılır</v>
      </c>
      <c r="C189" s="13" t="str">
        <f>'API Test Cases'!B189</f>
        <v>SC-027</v>
      </c>
      <c r="D189" s="13" t="str">
        <f>'API Test Cases'!M189</f>
        <v>Pass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 t="s">
        <v>1817</v>
      </c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</row>
    <row r="190" spans="1:110" ht="42" customHeight="1" x14ac:dyDescent="0.3">
      <c r="A190" s="13" t="str">
        <f>'API Test Cases'!A190</f>
        <v>TC_PAY_BVA_044</v>
      </c>
      <c r="B190" s="13" t="str">
        <f>'API Test Cases'!D190</f>
        <v>Bu gün 500 AZN xərclənibsə, 1 AZN-lik ödənişdə 422 DAILY_LIMIT_EXCEEDED və "remaining": 0 qaytarılır</v>
      </c>
      <c r="C190" s="13" t="str">
        <f>'API Test Cases'!B190</f>
        <v>SC-027</v>
      </c>
      <c r="D190" s="13" t="str">
        <f>'API Test Cases'!M190</f>
        <v>Pass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 t="s">
        <v>1817</v>
      </c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</row>
    <row r="191" spans="1:110" ht="42" customHeight="1" x14ac:dyDescent="0.3">
      <c r="A191" s="13" t="str">
        <f>'API Test Cases'!A191</f>
        <v>TC_PAY_BVA_045</v>
      </c>
      <c r="B191" s="13" t="str">
        <f>'API Test Cases'!D191</f>
        <v>Bu gün 499.50 AZN xərclənibsə, 0.50 AZN-lik ödəniş qəbul edilir (gündəlik cəmi tam 500)</v>
      </c>
      <c r="C191" s="13" t="str">
        <f>'API Test Cases'!B191</f>
        <v>SC-027</v>
      </c>
      <c r="D191" s="13" t="str">
        <f>'API Test Cases'!M191</f>
        <v>Pass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 t="s">
        <v>1817</v>
      </c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</row>
    <row r="192" spans="1:110" ht="42" customHeight="1" x14ac:dyDescent="0.3">
      <c r="A192" s="13" t="str">
        <f>'API Test Cases'!A192</f>
        <v>TC_PAY_EDGE_046</v>
      </c>
      <c r="B192" s="13" t="str">
        <f>'API Test Cases'!D192</f>
        <v>Gündəlik limit total üzrə yoxlanılır: 495 xərclənib, CityNet 5 AZN (total 5.20) ödənişində 422 DAILY_LIMIT_EXCEEDED, remaining 5</v>
      </c>
      <c r="C192" s="13" t="str">
        <f>'API Test Cases'!B192</f>
        <v>SC-027</v>
      </c>
      <c r="D192" s="13" t="str">
        <f>'API Test Cases'!M192</f>
        <v>Pass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 t="s">
        <v>1817</v>
      </c>
      <c r="CK192" s="16"/>
      <c r="CL192" s="16"/>
      <c r="CM192" s="16"/>
      <c r="CN192" s="16"/>
      <c r="CO192" s="16"/>
      <c r="CP192" s="16"/>
      <c r="CQ192" s="16"/>
      <c r="CR192" s="16"/>
      <c r="CS192" s="16" t="s">
        <v>1817</v>
      </c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</row>
    <row r="193" spans="1:110" ht="42" customHeight="1" x14ac:dyDescent="0.3">
      <c r="A193" s="13" t="str">
        <f>'API Test Cases'!A193</f>
        <v>TC_PAY_BVA_047</v>
      </c>
      <c r="B193" s="13" t="str">
        <f>'API Test Cases'!D193</f>
        <v>Balans 49.50 olduqda 49.51 AZN ödənişdə 422 INSUFFICIENT_FUNDS qaytarılır</v>
      </c>
      <c r="C193" s="13" t="str">
        <f>'API Test Cases'!B193</f>
        <v>SC-027</v>
      </c>
      <c r="D193" s="13" t="str">
        <f>'API Test Cases'!M193</f>
        <v>Pass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 t="s">
        <v>1817</v>
      </c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</row>
    <row r="194" spans="1:110" ht="42" customHeight="1" x14ac:dyDescent="0.3">
      <c r="A194" s="13" t="str">
        <f>'API Test Cases'!A194</f>
        <v>TC_PAY_BVA_048</v>
      </c>
      <c r="B194" s="13" t="str">
        <f>'API Test Cases'!D194</f>
        <v>Balans 49.50 olduqda 49.50 AZN ödəniş qəbul edilir və balanceAfter 0 olur</v>
      </c>
      <c r="C194" s="13" t="str">
        <f>'API Test Cases'!B194</f>
        <v>SC-027</v>
      </c>
      <c r="D194" s="13" t="str">
        <f>'API Test Cases'!M194</f>
        <v>Pass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 t="s">
        <v>1817</v>
      </c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</row>
    <row r="195" spans="1:110" ht="42" customHeight="1" x14ac:dyDescent="0.3">
      <c r="A195" s="13" t="str">
        <f>'API Test Cases'!A195</f>
        <v>TC_PAY_EDGE_049</v>
      </c>
      <c r="B195" s="13" t="str">
        <f>'API Test Cases'!D195</f>
        <v>Balans total üzrə yoxlanılır: kartda 5.10 AZN var, CityNet 5 AZN (total 5.20) ödənişində 422 INSUFFICIENT_FUNDS</v>
      </c>
      <c r="C195" s="13" t="str">
        <f>'API Test Cases'!B195</f>
        <v>SC-027</v>
      </c>
      <c r="D195" s="13" t="str">
        <f>'API Test Cases'!M195</f>
        <v>Pass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 t="s">
        <v>1817</v>
      </c>
      <c r="CL195" s="16"/>
      <c r="CM195" s="16"/>
      <c r="CN195" s="16"/>
      <c r="CO195" s="16"/>
      <c r="CP195" s="16"/>
      <c r="CQ195" s="16"/>
      <c r="CR195" s="16"/>
      <c r="CS195" s="16" t="s">
        <v>1817</v>
      </c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</row>
    <row r="196" spans="1:110" ht="42" customHeight="1" x14ac:dyDescent="0.3">
      <c r="A196" s="13" t="str">
        <f>'API Test Cases'!A196</f>
        <v>TC_PAY_EDGE_050</v>
      </c>
      <c r="B196" s="13" t="str">
        <f>'API Test Cases'!D196</f>
        <v>Balans 10 olan kartla 300.01 AZN ödənişdə 422 PER_TRANSACTION_LIMIT qaytarılır (INSUFFICIENT_FUNDS deyil)</v>
      </c>
      <c r="C196" s="13" t="str">
        <f>'API Test Cases'!B196</f>
        <v>SC-027</v>
      </c>
      <c r="D196" s="13" t="str">
        <f>'API Test Cases'!M196</f>
        <v>Pass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 t="s">
        <v>1817</v>
      </c>
      <c r="CJ196" s="16"/>
      <c r="CK196" s="16"/>
      <c r="CL196" s="16"/>
      <c r="CM196" s="16"/>
      <c r="CN196" s="16"/>
      <c r="CO196" s="16"/>
      <c r="CP196" s="16"/>
      <c r="CQ196" s="16"/>
      <c r="CR196" s="16" t="s">
        <v>1817</v>
      </c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</row>
    <row r="197" spans="1:110" ht="42" customHeight="1" x14ac:dyDescent="0.3">
      <c r="A197" s="13" t="str">
        <f>'API Test Cases'!A197</f>
        <v>TC_PAY_POS_051</v>
      </c>
      <c r="B197" s="13" t="str">
        <f>'API Test Cases'!D197</f>
        <v>Parametrsiz sorğuda 200: page 1, limit 10, total 18, totalPages 2 və ən yeni ödəniş (000018) birinci</v>
      </c>
      <c r="C197" s="13" t="str">
        <f>'API Test Cases'!B197</f>
        <v>SC-028</v>
      </c>
      <c r="D197" s="13" t="str">
        <f>'API Test Cases'!M197</f>
        <v>Pass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 t="s">
        <v>1817</v>
      </c>
      <c r="CU197" s="16"/>
      <c r="CV197" s="16"/>
      <c r="CW197" s="16"/>
      <c r="CX197" s="16"/>
      <c r="CY197" s="16"/>
      <c r="CZ197" s="16"/>
      <c r="DA197" s="16"/>
      <c r="DB197" s="16"/>
      <c r="DC197" s="16" t="s">
        <v>1817</v>
      </c>
      <c r="DD197" s="16"/>
      <c r="DE197" s="16"/>
      <c r="DF197" s="16"/>
    </row>
    <row r="198" spans="1:110" ht="42" customHeight="1" x14ac:dyDescent="0.3">
      <c r="A198" s="13" t="str">
        <f>'API Test Cases'!A198</f>
        <v>TC_PAY_POS_052</v>
      </c>
      <c r="B198" s="13" t="str">
        <f>'API Test Cases'!D198</f>
        <v>page=2 olduqda qalan 8 ödəniş (000008 … 000001) qaytarılır və 1-ci səhifə ilə təkrarlanmır</v>
      </c>
      <c r="C198" s="13" t="str">
        <f>'API Test Cases'!B198</f>
        <v>SC-028</v>
      </c>
      <c r="D198" s="13" t="str">
        <f>'API Test Cases'!M198</f>
        <v>Pass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 t="s">
        <v>1817</v>
      </c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</row>
    <row r="199" spans="1:110" ht="42" customHeight="1" x14ac:dyDescent="0.3">
      <c r="A199" s="13" t="str">
        <f>'API Test Cases'!A199</f>
        <v>TC_PAY_POS_053</v>
      </c>
      <c r="B199" s="13" t="str">
        <f>'API Test Cases'!D199</f>
        <v>Mövcud olmayan səhifə (page=3) istədikdə 200 və boş items qaytarılır</v>
      </c>
      <c r="C199" s="13" t="str">
        <f>'API Test Cases'!B199</f>
        <v>SC-028</v>
      </c>
      <c r="D199" s="13" t="str">
        <f>'API Test Cases'!M199</f>
        <v>Pass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 t="s">
        <v>1817</v>
      </c>
      <c r="CW199" s="16"/>
      <c r="CX199" s="16"/>
      <c r="CY199" s="16"/>
      <c r="CZ199" s="16"/>
      <c r="DA199" s="16"/>
      <c r="DB199" s="16"/>
      <c r="DC199" s="16" t="s">
        <v>1817</v>
      </c>
      <c r="DD199" s="16"/>
      <c r="DE199" s="16"/>
      <c r="DF199" s="16"/>
    </row>
    <row r="200" spans="1:110" ht="42" customHeight="1" x14ac:dyDescent="0.3">
      <c r="A200" s="13" t="str">
        <f>'API Test Cases'!A200</f>
        <v>TC_PAY_BVA_054</v>
      </c>
      <c r="B200" s="13" t="str">
        <f>'API Test Cases'!D200</f>
        <v>limit=1 (min) və limit=50 (max) qəbul edilir: 1 → 18 səhifə, 50 → bütün 18 ödəniş bir səhifədə</v>
      </c>
      <c r="C200" s="13" t="str">
        <f>'API Test Cases'!B200</f>
        <v>SC-028</v>
      </c>
      <c r="D200" s="13" t="str">
        <f>'API Test Cases'!M200</f>
        <v>Pass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 t="s">
        <v>1817</v>
      </c>
      <c r="CX200" s="16"/>
      <c r="CY200" s="16"/>
      <c r="CZ200" s="16"/>
      <c r="DA200" s="16"/>
      <c r="DB200" s="16"/>
      <c r="DC200" s="16"/>
      <c r="DD200" s="16"/>
      <c r="DE200" s="16"/>
      <c r="DF200" s="16"/>
    </row>
    <row r="201" spans="1:110" ht="42" customHeight="1" x14ac:dyDescent="0.3">
      <c r="A201" s="13" t="str">
        <f>'API Test Cases'!A201</f>
        <v>TC_PAY_BVA_055</v>
      </c>
      <c r="B201" s="13" t="str">
        <f>'API Test Cases'!D201</f>
        <v>limit=0 (min − 1) və limit=51 (max + 1) olduqda 400 VALIDATION_ERROR qaytarılır</v>
      </c>
      <c r="C201" s="13" t="str">
        <f>'API Test Cases'!B201</f>
        <v>SC-028</v>
      </c>
      <c r="D201" s="13" t="str">
        <f>'API Test Cases'!M201</f>
        <v>Pass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 t="s">
        <v>1817</v>
      </c>
      <c r="CX201" s="16"/>
      <c r="CY201" s="16"/>
      <c r="CZ201" s="16"/>
      <c r="DA201" s="16"/>
      <c r="DB201" s="16"/>
      <c r="DC201" s="16"/>
      <c r="DD201" s="16"/>
      <c r="DE201" s="16" t="s">
        <v>1817</v>
      </c>
      <c r="DF201" s="16"/>
    </row>
    <row r="202" spans="1:110" ht="42" customHeight="1" x14ac:dyDescent="0.3">
      <c r="A202" s="13" t="str">
        <f>'API Test Cases'!A202</f>
        <v>TC_PAY_NEG_056</v>
      </c>
      <c r="B202" s="13" t="str">
        <f>'API Test Cases'!D202</f>
        <v>page=0, page=-1 və page=abc olduqda 400 VALIDATION_ERROR qaytarılır</v>
      </c>
      <c r="C202" s="13" t="str">
        <f>'API Test Cases'!B202</f>
        <v>SC-028</v>
      </c>
      <c r="D202" s="13" t="str">
        <f>'API Test Cases'!M202</f>
        <v>Pass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 t="s">
        <v>1817</v>
      </c>
      <c r="CX202" s="16"/>
      <c r="CY202" s="16"/>
      <c r="CZ202" s="16"/>
      <c r="DA202" s="16"/>
      <c r="DB202" s="16"/>
      <c r="DC202" s="16"/>
      <c r="DD202" s="16"/>
      <c r="DE202" s="16" t="s">
        <v>1817</v>
      </c>
      <c r="DF202" s="16"/>
    </row>
    <row r="203" spans="1:110" ht="42" customHeight="1" x14ac:dyDescent="0.3">
      <c r="A203" s="13" t="str">
        <f>'API Test Cases'!A203</f>
        <v>TC_PAY_POS_057</v>
      </c>
      <c r="B203" s="13" t="str">
        <f>'API Test Cases'!D203</f>
        <v>Hər tarixçə elementində sənəddəki sahələr var, status SUCCESS və total = amount + fee</v>
      </c>
      <c r="C203" s="13" t="str">
        <f>'API Test Cases'!B203</f>
        <v>SC-028</v>
      </c>
      <c r="D203" s="13" t="str">
        <f>'API Test Cases'!M203</f>
        <v>Pass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 t="s">
        <v>1817</v>
      </c>
      <c r="DC203" s="16" t="s">
        <v>1817</v>
      </c>
      <c r="DD203" s="16"/>
      <c r="DE203" s="16"/>
      <c r="DF203" s="16"/>
    </row>
    <row r="204" spans="1:110" ht="42" customHeight="1" x14ac:dyDescent="0.3">
      <c r="A204" s="13" t="str">
        <f>'API Test Cases'!A204</f>
        <v>TC_PAY_EDGE_058</v>
      </c>
      <c r="B204" s="13" t="str">
        <f>'API Test Cases'!D204</f>
        <v>user2 öz tarixçəsini istədikdə user1-in ödənişləri görünmür</v>
      </c>
      <c r="C204" s="13" t="str">
        <f>'API Test Cases'!B204</f>
        <v>SC-028</v>
      </c>
      <c r="D204" s="13" t="str">
        <f>'API Test Cases'!M204</f>
        <v>Pass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 t="s">
        <v>1817</v>
      </c>
    </row>
    <row r="205" spans="1:110" ht="42" customHeight="1" x14ac:dyDescent="0.3">
      <c r="A205" s="13" t="str">
        <f>'API Test Cases'!A205</f>
        <v>TC_PAY_NEG_059</v>
      </c>
      <c r="B205" s="13" t="str">
        <f>'API Test Cases'!D205</f>
        <v>Token olmadan və ya saxta tokenlə tarixçə istədikdə 401 qaytarılır</v>
      </c>
      <c r="C205" s="13" t="str">
        <f>'API Test Cases'!B205</f>
        <v>SC-028</v>
      </c>
      <c r="D205" s="13" t="str">
        <f>'API Test Cases'!M205</f>
        <v>Pass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 t="s">
        <v>1817</v>
      </c>
      <c r="DF205" s="16"/>
    </row>
    <row r="206" spans="1:110" ht="42" customHeight="1" x14ac:dyDescent="0.3">
      <c r="A206" s="13" t="str">
        <f>'API Test Cases'!A206</f>
        <v>TC_PAY_POS_060</v>
      </c>
      <c r="B206" s="13" t="str">
        <f>'API Test Cases'!D206</f>
        <v>billerId=citynet olduqda yalnız 6 CityNet ödənişi qaytarılır və total 6 olur</v>
      </c>
      <c r="C206" s="13" t="str">
        <f>'API Test Cases'!B206</f>
        <v>SC-029</v>
      </c>
      <c r="D206" s="13" t="str">
        <f>'API Test Cases'!M206</f>
        <v>Pass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 t="s">
        <v>1817</v>
      </c>
      <c r="DB206" s="16"/>
      <c r="DC206" s="16"/>
      <c r="DD206" s="16"/>
      <c r="DE206" s="16"/>
      <c r="DF206" s="16"/>
    </row>
    <row r="207" spans="1:110" ht="42" customHeight="1" x14ac:dyDescent="0.3">
      <c r="A207" s="13" t="str">
        <f>'API Test Cases'!A207</f>
        <v>TC_PAY_POS_061</v>
      </c>
      <c r="B207" s="13" t="str">
        <f>'API Test Cases'!D207</f>
        <v>billerId=citynet&amp;limit=5 olduqda total 6 (filtrdən sonrakı ümumi say), səhifədə 5 element, totalPages 2</v>
      </c>
      <c r="C207" s="13" t="str">
        <f>'API Test Cases'!B207</f>
        <v>SC-029</v>
      </c>
      <c r="D207" s="13" t="str">
        <f>'API Test Cases'!M207</f>
        <v>Pass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 t="s">
        <v>1817</v>
      </c>
      <c r="DB207" s="16"/>
      <c r="DC207" s="16"/>
      <c r="DD207" s="16" t="s">
        <v>1817</v>
      </c>
      <c r="DE207" s="16"/>
      <c r="DF207" s="16"/>
    </row>
    <row r="208" spans="1:110" ht="42" customHeight="1" x14ac:dyDescent="0.3">
      <c r="A208" s="13" t="str">
        <f>'API Test Cases'!A208</f>
        <v>TC_PAY_POS_062</v>
      </c>
      <c r="B208" s="13" t="str">
        <f>'API Test Cases'!D208</f>
        <v>cardId={{cardB}} olduqda yalnız B kartının 2 ödənişi (Aztelekom) qaytarılır</v>
      </c>
      <c r="C208" s="13" t="str">
        <f>'API Test Cases'!B208</f>
        <v>SC-029</v>
      </c>
      <c r="D208" s="13" t="str">
        <f>'API Test Cases'!M208</f>
        <v>Pass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 t="s">
        <v>1817</v>
      </c>
      <c r="DC208" s="16"/>
      <c r="DD208" s="16"/>
      <c r="DE208" s="16"/>
      <c r="DF208" s="16"/>
    </row>
    <row r="209" spans="1:110" ht="42" customHeight="1" x14ac:dyDescent="0.3">
      <c r="A209" s="13" t="str">
        <f>'API Test Cases'!A209</f>
        <v>TC_PAY_POS_063</v>
      </c>
      <c r="B209" s="13" t="str">
        <f>'API Test Cases'!D209</f>
        <v>from = to = bu gün (Bakı vaxtı) olduqda bu günün bütün 18 ödənişi qaytarılır</v>
      </c>
      <c r="C209" s="13" t="str">
        <f>'API Test Cases'!B209</f>
        <v>SC-029</v>
      </c>
      <c r="D209" s="13" t="str">
        <f>'API Test Cases'!M209</f>
        <v>Pass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 t="s">
        <v>1817</v>
      </c>
      <c r="DA209" s="16"/>
      <c r="DB209" s="16"/>
      <c r="DC209" s="16" t="s">
        <v>1817</v>
      </c>
      <c r="DD209" s="16"/>
      <c r="DE209" s="16"/>
      <c r="DF209" s="16"/>
    </row>
    <row r="210" spans="1:110" ht="42" customHeight="1" x14ac:dyDescent="0.3">
      <c r="A210" s="13" t="str">
        <f>'API Test Cases'!A210</f>
        <v>TC_PAY_EDGE_064</v>
      </c>
      <c r="B210" s="13" t="str">
        <f>'API Test Cases'!D210</f>
        <v>from = sabah və ya to = dünən olduqda bu günün ödənişləri qaytarılmır (total 0)</v>
      </c>
      <c r="C210" s="13" t="str">
        <f>'API Test Cases'!B210</f>
        <v>SC-029</v>
      </c>
      <c r="D210" s="13" t="str">
        <f>'API Test Cases'!M210</f>
        <v>Pass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 t="s">
        <v>1817</v>
      </c>
      <c r="DA210" s="16"/>
      <c r="DB210" s="16"/>
      <c r="DC210" s="16" t="s">
        <v>1817</v>
      </c>
      <c r="DD210" s="16"/>
      <c r="DE210" s="16"/>
      <c r="DF210" s="16"/>
    </row>
    <row r="211" spans="1:110" ht="42" customHeight="1" x14ac:dyDescent="0.3">
      <c r="A211" s="13" t="str">
        <f>'API Test Cases'!A211</f>
        <v>TC_PAY_NEG_065</v>
      </c>
      <c r="B211" s="13" t="str">
        <f>'API Test Cases'!D211</f>
        <v>Mövcud olmayan ay ilə tarix (from=2026-13-01) göndərildikdə 400 VALIDATION_ERROR qaytarılır</v>
      </c>
      <c r="C211" s="13" t="str">
        <f>'API Test Cases'!B211</f>
        <v>SC-029</v>
      </c>
      <c r="D211" s="13" t="str">
        <f>'API Test Cases'!M211</f>
        <v>Pass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 t="s">
        <v>1817</v>
      </c>
      <c r="CY211" s="16"/>
      <c r="CZ211" s="16"/>
      <c r="DA211" s="16"/>
      <c r="DB211" s="16"/>
      <c r="DC211" s="16"/>
      <c r="DD211" s="16"/>
      <c r="DE211" s="16" t="s">
        <v>1817</v>
      </c>
      <c r="DF211" s="16"/>
    </row>
    <row r="212" spans="1:110" ht="42" customHeight="1" x14ac:dyDescent="0.3">
      <c r="A212" s="13" t="str">
        <f>'API Test Cases'!A212</f>
        <v>TC_PAY_EDGE_066</v>
      </c>
      <c r="B212" s="13" t="str">
        <f>'API Test Cases'!D212</f>
        <v>Mövcud olmayan gün (from=2026-02-30) göndərildikdə 400 VALIDATION_ERROR qaytarılır</v>
      </c>
      <c r="C212" s="13" t="str">
        <f>'API Test Cases'!B212</f>
        <v>SC-029</v>
      </c>
      <c r="D212" s="13" t="str">
        <f>'API Test Cases'!M212</f>
        <v>Pass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 t="s">
        <v>1817</v>
      </c>
      <c r="CY212" s="16"/>
      <c r="CZ212" s="16"/>
      <c r="DA212" s="16"/>
      <c r="DB212" s="16"/>
      <c r="DC212" s="16"/>
      <c r="DD212" s="16"/>
      <c r="DE212" s="16"/>
      <c r="DF212" s="16"/>
    </row>
    <row r="213" spans="1:110" ht="42" customHeight="1" x14ac:dyDescent="0.3">
      <c r="A213" s="13" t="str">
        <f>'API Test Cases'!A213</f>
        <v>TC_PAY_NEG_067</v>
      </c>
      <c r="B213" s="13" t="str">
        <f>'API Test Cases'!D213</f>
        <v>from &gt; to (from = bu gün, to = dünən) olduqda 400 VALIDATION_ERROR qaytarılır</v>
      </c>
      <c r="C213" s="13" t="str">
        <f>'API Test Cases'!B213</f>
        <v>SC-029</v>
      </c>
      <c r="D213" s="13" t="str">
        <f>'API Test Cases'!M213</f>
        <v>Pass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 t="s">
        <v>1817</v>
      </c>
      <c r="CZ213" s="16"/>
      <c r="DA213" s="16"/>
      <c r="DB213" s="16"/>
      <c r="DC213" s="16"/>
      <c r="DD213" s="16"/>
      <c r="DE213" s="16" t="s">
        <v>1817</v>
      </c>
      <c r="DF213" s="16"/>
    </row>
    <row r="214" spans="1:110" ht="42" customHeight="1" x14ac:dyDescent="0.3">
      <c r="A214" s="13" t="str">
        <f>'API Test Cases'!A214</f>
        <v>TC_PAY_NEG_068</v>
      </c>
      <c r="B214" s="13" t="str">
        <f>'API Test Cases'!D214</f>
        <v>Tarix YYYY-MM-DD formatında olmadıqda (from=11.10.2026) 400 VALIDATION_ERROR qaytarılır</v>
      </c>
      <c r="C214" s="13" t="str">
        <f>'API Test Cases'!B214</f>
        <v>SC-029</v>
      </c>
      <c r="D214" s="13" t="str">
        <f>'API Test Cases'!M214</f>
        <v>Pass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 t="s">
        <v>1817</v>
      </c>
      <c r="DC214" s="16"/>
      <c r="DD214" s="16"/>
      <c r="DE214" s="16" t="s">
        <v>1817</v>
      </c>
      <c r="DF214" s="16"/>
    </row>
    <row r="215" spans="1:110" ht="42" customHeight="1" x14ac:dyDescent="0.3">
      <c r="A215" s="13" t="str">
        <f>'API Test Cases'!A215</f>
        <v>TC_PAY_POS_069</v>
      </c>
      <c r="B215" s="13" t="str">
        <f>'API Test Cases'!D215</f>
        <v>billerId, cardId və tarix filtrləri birlikdə olduqda yalnız bütün şərtlərə uyğun ödənişlər qaytarılır (AND)</v>
      </c>
      <c r="C215" s="13" t="str">
        <f>'API Test Cases'!B215</f>
        <v>SC-029</v>
      </c>
      <c r="D215" s="13" t="str">
        <f>'API Test Cases'!M215</f>
        <v>Pass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 t="s">
        <v>1817</v>
      </c>
      <c r="DA215" s="16" t="s">
        <v>1817</v>
      </c>
      <c r="DB215" s="16" t="s">
        <v>1817</v>
      </c>
      <c r="DC215" s="16"/>
      <c r="DD215" s="16"/>
      <c r="DE215" s="16"/>
      <c r="DF215" s="16"/>
    </row>
    <row r="216" spans="1:110" ht="1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</row>
    <row r="217" spans="1:110" ht="15" customHeight="1" x14ac:dyDescent="0.3">
      <c r="A217" s="23"/>
      <c r="B217" s="24" t="s">
        <v>1818</v>
      </c>
      <c r="C217" s="23"/>
      <c r="D217" s="23"/>
      <c r="E217" s="23">
        <f t="shared" ref="E217:AJ217" si="0">COUNTIF(E5:E215,"✓")</f>
        <v>2</v>
      </c>
      <c r="F217" s="23">
        <f t="shared" si="0"/>
        <v>3</v>
      </c>
      <c r="G217" s="23">
        <f t="shared" si="0"/>
        <v>1</v>
      </c>
      <c r="H217" s="23">
        <f t="shared" si="0"/>
        <v>9</v>
      </c>
      <c r="I217" s="23">
        <f t="shared" si="0"/>
        <v>5</v>
      </c>
      <c r="J217" s="23">
        <f t="shared" si="0"/>
        <v>2</v>
      </c>
      <c r="K217" s="23">
        <f t="shared" si="0"/>
        <v>5</v>
      </c>
      <c r="L217" s="23">
        <f t="shared" si="0"/>
        <v>2</v>
      </c>
      <c r="M217" s="23">
        <f t="shared" si="0"/>
        <v>4</v>
      </c>
      <c r="N217" s="23">
        <f t="shared" si="0"/>
        <v>2</v>
      </c>
      <c r="O217" s="23">
        <f t="shared" si="0"/>
        <v>16</v>
      </c>
      <c r="P217" s="23">
        <f t="shared" si="0"/>
        <v>4</v>
      </c>
      <c r="Q217" s="23">
        <f t="shared" si="0"/>
        <v>4</v>
      </c>
      <c r="R217" s="23">
        <f t="shared" si="0"/>
        <v>2</v>
      </c>
      <c r="S217" s="23">
        <f t="shared" si="0"/>
        <v>3</v>
      </c>
      <c r="T217" s="23">
        <f t="shared" si="0"/>
        <v>3</v>
      </c>
      <c r="U217" s="23">
        <f t="shared" si="0"/>
        <v>2</v>
      </c>
      <c r="V217" s="23">
        <f t="shared" si="0"/>
        <v>2</v>
      </c>
      <c r="W217" s="23">
        <f t="shared" si="0"/>
        <v>1</v>
      </c>
      <c r="X217" s="23">
        <f t="shared" si="0"/>
        <v>1</v>
      </c>
      <c r="Y217" s="23">
        <f t="shared" si="0"/>
        <v>2</v>
      </c>
      <c r="Z217" s="23">
        <f t="shared" si="0"/>
        <v>13</v>
      </c>
      <c r="AA217" s="23">
        <f t="shared" si="0"/>
        <v>6</v>
      </c>
      <c r="AB217" s="23">
        <f t="shared" si="0"/>
        <v>2</v>
      </c>
      <c r="AC217" s="23">
        <f t="shared" si="0"/>
        <v>1</v>
      </c>
      <c r="AD217" s="23">
        <f t="shared" si="0"/>
        <v>2</v>
      </c>
      <c r="AE217" s="23">
        <f t="shared" si="0"/>
        <v>1</v>
      </c>
      <c r="AF217" s="23">
        <f t="shared" si="0"/>
        <v>1</v>
      </c>
      <c r="AG217" s="23">
        <f t="shared" si="0"/>
        <v>2</v>
      </c>
      <c r="AH217" s="23">
        <f t="shared" si="0"/>
        <v>2</v>
      </c>
      <c r="AI217" s="23">
        <f t="shared" si="0"/>
        <v>5</v>
      </c>
      <c r="AJ217" s="23">
        <f t="shared" si="0"/>
        <v>1</v>
      </c>
      <c r="AK217" s="23">
        <f t="shared" ref="AK217:BP217" si="1">COUNTIF(AK5:AK215,"✓")</f>
        <v>2</v>
      </c>
      <c r="AL217" s="23">
        <f t="shared" si="1"/>
        <v>2</v>
      </c>
      <c r="AM217" s="23">
        <f t="shared" si="1"/>
        <v>1</v>
      </c>
      <c r="AN217" s="23">
        <f t="shared" si="1"/>
        <v>4</v>
      </c>
      <c r="AO217" s="23">
        <f t="shared" si="1"/>
        <v>2</v>
      </c>
      <c r="AP217" s="23">
        <f t="shared" si="1"/>
        <v>1</v>
      </c>
      <c r="AQ217" s="23">
        <f t="shared" si="1"/>
        <v>3</v>
      </c>
      <c r="AR217" s="23">
        <f t="shared" si="1"/>
        <v>2</v>
      </c>
      <c r="AS217" s="23">
        <f t="shared" si="1"/>
        <v>1</v>
      </c>
      <c r="AT217" s="23">
        <f t="shared" si="1"/>
        <v>7</v>
      </c>
      <c r="AU217" s="23">
        <f t="shared" si="1"/>
        <v>6</v>
      </c>
      <c r="AV217" s="23">
        <f t="shared" si="1"/>
        <v>3</v>
      </c>
      <c r="AW217" s="23">
        <f t="shared" si="1"/>
        <v>1</v>
      </c>
      <c r="AX217" s="23">
        <f t="shared" si="1"/>
        <v>1</v>
      </c>
      <c r="AY217" s="23">
        <f t="shared" si="1"/>
        <v>1</v>
      </c>
      <c r="AZ217" s="23">
        <f t="shared" si="1"/>
        <v>1</v>
      </c>
      <c r="BA217" s="23">
        <f t="shared" si="1"/>
        <v>3</v>
      </c>
      <c r="BB217" s="23">
        <f t="shared" si="1"/>
        <v>2</v>
      </c>
      <c r="BC217" s="23">
        <f t="shared" si="1"/>
        <v>1</v>
      </c>
      <c r="BD217" s="23">
        <f t="shared" si="1"/>
        <v>1</v>
      </c>
      <c r="BE217" s="23">
        <f t="shared" si="1"/>
        <v>1</v>
      </c>
      <c r="BF217" s="23">
        <f t="shared" si="1"/>
        <v>3</v>
      </c>
      <c r="BG217" s="23">
        <f t="shared" si="1"/>
        <v>2</v>
      </c>
      <c r="BH217" s="23">
        <f t="shared" si="1"/>
        <v>2</v>
      </c>
      <c r="BI217" s="23">
        <f t="shared" si="1"/>
        <v>9</v>
      </c>
      <c r="BJ217" s="23">
        <f t="shared" si="1"/>
        <v>3</v>
      </c>
      <c r="BK217" s="23">
        <f t="shared" si="1"/>
        <v>4</v>
      </c>
      <c r="BL217" s="23">
        <f t="shared" si="1"/>
        <v>2</v>
      </c>
      <c r="BM217" s="23">
        <f t="shared" si="1"/>
        <v>3</v>
      </c>
      <c r="BN217" s="23">
        <f t="shared" si="1"/>
        <v>1</v>
      </c>
      <c r="BO217" s="23">
        <f t="shared" si="1"/>
        <v>2</v>
      </c>
      <c r="BP217" s="23">
        <f t="shared" si="1"/>
        <v>1</v>
      </c>
      <c r="BQ217" s="23">
        <f t="shared" ref="BQ217:CV217" si="2">COUNTIF(BQ5:BQ215,"✓")</f>
        <v>1</v>
      </c>
      <c r="BR217" s="23">
        <f t="shared" si="2"/>
        <v>3</v>
      </c>
      <c r="BS217" s="23">
        <f t="shared" si="2"/>
        <v>4</v>
      </c>
      <c r="BT217" s="23">
        <f t="shared" si="2"/>
        <v>2</v>
      </c>
      <c r="BU217" s="23">
        <f t="shared" si="2"/>
        <v>1</v>
      </c>
      <c r="BV217" s="23">
        <f t="shared" si="2"/>
        <v>3</v>
      </c>
      <c r="BW217" s="23">
        <f t="shared" si="2"/>
        <v>2</v>
      </c>
      <c r="BX217" s="23">
        <f t="shared" si="2"/>
        <v>2</v>
      </c>
      <c r="BY217" s="23">
        <f t="shared" si="2"/>
        <v>1</v>
      </c>
      <c r="BZ217" s="23">
        <f t="shared" si="2"/>
        <v>1</v>
      </c>
      <c r="CA217" s="23">
        <f t="shared" si="2"/>
        <v>1</v>
      </c>
      <c r="CB217" s="23">
        <f t="shared" si="2"/>
        <v>3</v>
      </c>
      <c r="CC217" s="23">
        <f t="shared" si="2"/>
        <v>2</v>
      </c>
      <c r="CD217" s="23">
        <f t="shared" si="2"/>
        <v>1</v>
      </c>
      <c r="CE217" s="23">
        <f t="shared" si="2"/>
        <v>1</v>
      </c>
      <c r="CF217" s="23">
        <f t="shared" si="2"/>
        <v>2</v>
      </c>
      <c r="CG217" s="23">
        <f t="shared" si="2"/>
        <v>3</v>
      </c>
      <c r="CH217" s="23">
        <f t="shared" si="2"/>
        <v>1</v>
      </c>
      <c r="CI217" s="23">
        <f t="shared" si="2"/>
        <v>3</v>
      </c>
      <c r="CJ217" s="23">
        <f t="shared" si="2"/>
        <v>3</v>
      </c>
      <c r="CK217" s="23">
        <f t="shared" si="2"/>
        <v>3</v>
      </c>
      <c r="CL217" s="23">
        <f t="shared" si="2"/>
        <v>4</v>
      </c>
      <c r="CM217" s="23">
        <f t="shared" si="2"/>
        <v>1</v>
      </c>
      <c r="CN217" s="23">
        <f t="shared" si="2"/>
        <v>4</v>
      </c>
      <c r="CO217" s="23">
        <f t="shared" si="2"/>
        <v>5</v>
      </c>
      <c r="CP217" s="23">
        <f t="shared" si="2"/>
        <v>4</v>
      </c>
      <c r="CQ217" s="23">
        <f t="shared" si="2"/>
        <v>8</v>
      </c>
      <c r="CR217" s="23">
        <f t="shared" si="2"/>
        <v>6</v>
      </c>
      <c r="CS217" s="23">
        <f t="shared" si="2"/>
        <v>4</v>
      </c>
      <c r="CT217" s="23">
        <f t="shared" si="2"/>
        <v>1</v>
      </c>
      <c r="CU217" s="23">
        <f t="shared" si="2"/>
        <v>1</v>
      </c>
      <c r="CV217" s="23">
        <f t="shared" si="2"/>
        <v>1</v>
      </c>
      <c r="CW217" s="23">
        <f t="shared" ref="CW217:DF217" si="3">COUNTIF(CW5:CW215,"✓")</f>
        <v>3</v>
      </c>
      <c r="CX217" s="23">
        <f t="shared" si="3"/>
        <v>2</v>
      </c>
      <c r="CY217" s="23">
        <f t="shared" si="3"/>
        <v>1</v>
      </c>
      <c r="CZ217" s="23">
        <f t="shared" si="3"/>
        <v>3</v>
      </c>
      <c r="DA217" s="23">
        <f t="shared" si="3"/>
        <v>3</v>
      </c>
      <c r="DB217" s="23">
        <f t="shared" si="3"/>
        <v>4</v>
      </c>
      <c r="DC217" s="23">
        <f t="shared" si="3"/>
        <v>5</v>
      </c>
      <c r="DD217" s="23">
        <f t="shared" si="3"/>
        <v>1</v>
      </c>
      <c r="DE217" s="23">
        <f t="shared" si="3"/>
        <v>6</v>
      </c>
      <c r="DF217" s="23">
        <f t="shared" si="3"/>
        <v>1</v>
      </c>
    </row>
    <row r="218" spans="1:110" ht="15" customHeight="1" x14ac:dyDescent="0.3">
      <c r="A218" s="23"/>
      <c r="B218" s="24" t="s">
        <v>49</v>
      </c>
      <c r="C218" s="23"/>
      <c r="D218" s="23"/>
      <c r="E218" s="23">
        <f t="shared" ref="E218:AJ218" si="4">COUNTIFS(E5:E215,"✓",$D$5:$D$215,"Pass")</f>
        <v>2</v>
      </c>
      <c r="F218" s="23">
        <f t="shared" si="4"/>
        <v>3</v>
      </c>
      <c r="G218" s="23">
        <f t="shared" si="4"/>
        <v>1</v>
      </c>
      <c r="H218" s="23">
        <f t="shared" si="4"/>
        <v>9</v>
      </c>
      <c r="I218" s="23">
        <f t="shared" si="4"/>
        <v>5</v>
      </c>
      <c r="J218" s="23">
        <f t="shared" si="4"/>
        <v>2</v>
      </c>
      <c r="K218" s="23">
        <f t="shared" si="4"/>
        <v>5</v>
      </c>
      <c r="L218" s="23">
        <f t="shared" si="4"/>
        <v>2</v>
      </c>
      <c r="M218" s="23">
        <f t="shared" si="4"/>
        <v>4</v>
      </c>
      <c r="N218" s="23">
        <f t="shared" si="4"/>
        <v>2</v>
      </c>
      <c r="O218" s="23">
        <f t="shared" si="4"/>
        <v>16</v>
      </c>
      <c r="P218" s="23">
        <f t="shared" si="4"/>
        <v>4</v>
      </c>
      <c r="Q218" s="23">
        <f t="shared" si="4"/>
        <v>4</v>
      </c>
      <c r="R218" s="23">
        <f t="shared" si="4"/>
        <v>2</v>
      </c>
      <c r="S218" s="23">
        <f t="shared" si="4"/>
        <v>3</v>
      </c>
      <c r="T218" s="23">
        <f t="shared" si="4"/>
        <v>3</v>
      </c>
      <c r="U218" s="23">
        <f t="shared" si="4"/>
        <v>2</v>
      </c>
      <c r="V218" s="23">
        <f t="shared" si="4"/>
        <v>2</v>
      </c>
      <c r="W218" s="23">
        <f t="shared" si="4"/>
        <v>1</v>
      </c>
      <c r="X218" s="23">
        <f t="shared" si="4"/>
        <v>1</v>
      </c>
      <c r="Y218" s="23">
        <f t="shared" si="4"/>
        <v>2</v>
      </c>
      <c r="Z218" s="23">
        <f t="shared" si="4"/>
        <v>13</v>
      </c>
      <c r="AA218" s="23">
        <f t="shared" si="4"/>
        <v>6</v>
      </c>
      <c r="AB218" s="23">
        <f t="shared" si="4"/>
        <v>2</v>
      </c>
      <c r="AC218" s="23">
        <f t="shared" si="4"/>
        <v>1</v>
      </c>
      <c r="AD218" s="23">
        <f t="shared" si="4"/>
        <v>2</v>
      </c>
      <c r="AE218" s="23">
        <f t="shared" si="4"/>
        <v>1</v>
      </c>
      <c r="AF218" s="23">
        <f t="shared" si="4"/>
        <v>1</v>
      </c>
      <c r="AG218" s="23">
        <f t="shared" si="4"/>
        <v>2</v>
      </c>
      <c r="AH218" s="23">
        <f t="shared" si="4"/>
        <v>2</v>
      </c>
      <c r="AI218" s="23">
        <f t="shared" si="4"/>
        <v>5</v>
      </c>
      <c r="AJ218" s="23">
        <f t="shared" si="4"/>
        <v>1</v>
      </c>
      <c r="AK218" s="23">
        <f t="shared" ref="AK218:BP218" si="5">COUNTIFS(AK5:AK215,"✓",$D$5:$D$215,"Pass")</f>
        <v>2</v>
      </c>
      <c r="AL218" s="23">
        <f t="shared" si="5"/>
        <v>2</v>
      </c>
      <c r="AM218" s="23">
        <f t="shared" si="5"/>
        <v>1</v>
      </c>
      <c r="AN218" s="23">
        <f t="shared" si="5"/>
        <v>4</v>
      </c>
      <c r="AO218" s="23">
        <f t="shared" si="5"/>
        <v>2</v>
      </c>
      <c r="AP218" s="23">
        <f t="shared" si="5"/>
        <v>1</v>
      </c>
      <c r="AQ218" s="23">
        <f t="shared" si="5"/>
        <v>3</v>
      </c>
      <c r="AR218" s="23">
        <f t="shared" si="5"/>
        <v>2</v>
      </c>
      <c r="AS218" s="23">
        <f t="shared" si="5"/>
        <v>1</v>
      </c>
      <c r="AT218" s="23">
        <f t="shared" si="5"/>
        <v>7</v>
      </c>
      <c r="AU218" s="23">
        <f t="shared" si="5"/>
        <v>6</v>
      </c>
      <c r="AV218" s="23">
        <f t="shared" si="5"/>
        <v>3</v>
      </c>
      <c r="AW218" s="23">
        <f t="shared" si="5"/>
        <v>1</v>
      </c>
      <c r="AX218" s="23">
        <f t="shared" si="5"/>
        <v>1</v>
      </c>
      <c r="AY218" s="23">
        <f t="shared" si="5"/>
        <v>1</v>
      </c>
      <c r="AZ218" s="23">
        <f t="shared" si="5"/>
        <v>1</v>
      </c>
      <c r="BA218" s="23">
        <f t="shared" si="5"/>
        <v>3</v>
      </c>
      <c r="BB218" s="23">
        <f t="shared" si="5"/>
        <v>2</v>
      </c>
      <c r="BC218" s="23">
        <f t="shared" si="5"/>
        <v>1</v>
      </c>
      <c r="BD218" s="23">
        <f t="shared" si="5"/>
        <v>1</v>
      </c>
      <c r="BE218" s="23">
        <f t="shared" si="5"/>
        <v>1</v>
      </c>
      <c r="BF218" s="23">
        <f t="shared" si="5"/>
        <v>3</v>
      </c>
      <c r="BG218" s="23">
        <f t="shared" si="5"/>
        <v>2</v>
      </c>
      <c r="BH218" s="23">
        <f t="shared" si="5"/>
        <v>2</v>
      </c>
      <c r="BI218" s="23">
        <f t="shared" si="5"/>
        <v>9</v>
      </c>
      <c r="BJ218" s="23">
        <f t="shared" si="5"/>
        <v>3</v>
      </c>
      <c r="BK218" s="23">
        <f t="shared" si="5"/>
        <v>4</v>
      </c>
      <c r="BL218" s="23">
        <f t="shared" si="5"/>
        <v>2</v>
      </c>
      <c r="BM218" s="23">
        <f t="shared" si="5"/>
        <v>3</v>
      </c>
      <c r="BN218" s="23">
        <f t="shared" si="5"/>
        <v>1</v>
      </c>
      <c r="BO218" s="23">
        <f t="shared" si="5"/>
        <v>2</v>
      </c>
      <c r="BP218" s="23">
        <f t="shared" si="5"/>
        <v>1</v>
      </c>
      <c r="BQ218" s="23">
        <f t="shared" ref="BQ218:CV218" si="6">COUNTIFS(BQ5:BQ215,"✓",$D$5:$D$215,"Pass")</f>
        <v>1</v>
      </c>
      <c r="BR218" s="23">
        <f t="shared" si="6"/>
        <v>3</v>
      </c>
      <c r="BS218" s="23">
        <f t="shared" si="6"/>
        <v>4</v>
      </c>
      <c r="BT218" s="23">
        <f t="shared" si="6"/>
        <v>2</v>
      </c>
      <c r="BU218" s="23">
        <f t="shared" si="6"/>
        <v>1</v>
      </c>
      <c r="BV218" s="23">
        <f t="shared" si="6"/>
        <v>3</v>
      </c>
      <c r="BW218" s="23">
        <f t="shared" si="6"/>
        <v>2</v>
      </c>
      <c r="BX218" s="23">
        <f t="shared" si="6"/>
        <v>2</v>
      </c>
      <c r="BY218" s="23">
        <f t="shared" si="6"/>
        <v>1</v>
      </c>
      <c r="BZ218" s="23">
        <f t="shared" si="6"/>
        <v>1</v>
      </c>
      <c r="CA218" s="23">
        <f t="shared" si="6"/>
        <v>1</v>
      </c>
      <c r="CB218" s="23">
        <f t="shared" si="6"/>
        <v>3</v>
      </c>
      <c r="CC218" s="23">
        <f t="shared" si="6"/>
        <v>2</v>
      </c>
      <c r="CD218" s="23">
        <f t="shared" si="6"/>
        <v>1</v>
      </c>
      <c r="CE218" s="23">
        <f t="shared" si="6"/>
        <v>1</v>
      </c>
      <c r="CF218" s="23">
        <f t="shared" si="6"/>
        <v>2</v>
      </c>
      <c r="CG218" s="23">
        <f t="shared" si="6"/>
        <v>3</v>
      </c>
      <c r="CH218" s="23">
        <f t="shared" si="6"/>
        <v>1</v>
      </c>
      <c r="CI218" s="23">
        <f t="shared" si="6"/>
        <v>3</v>
      </c>
      <c r="CJ218" s="23">
        <f t="shared" si="6"/>
        <v>3</v>
      </c>
      <c r="CK218" s="23">
        <f t="shared" si="6"/>
        <v>3</v>
      </c>
      <c r="CL218" s="23">
        <f t="shared" si="6"/>
        <v>4</v>
      </c>
      <c r="CM218" s="23">
        <f t="shared" si="6"/>
        <v>1</v>
      </c>
      <c r="CN218" s="23">
        <f t="shared" si="6"/>
        <v>4</v>
      </c>
      <c r="CO218" s="23">
        <f t="shared" si="6"/>
        <v>5</v>
      </c>
      <c r="CP218" s="23">
        <f t="shared" si="6"/>
        <v>4</v>
      </c>
      <c r="CQ218" s="23">
        <f t="shared" si="6"/>
        <v>8</v>
      </c>
      <c r="CR218" s="23">
        <f t="shared" si="6"/>
        <v>6</v>
      </c>
      <c r="CS218" s="23">
        <f t="shared" si="6"/>
        <v>4</v>
      </c>
      <c r="CT218" s="23">
        <f t="shared" si="6"/>
        <v>1</v>
      </c>
      <c r="CU218" s="23">
        <f t="shared" si="6"/>
        <v>1</v>
      </c>
      <c r="CV218" s="23">
        <f t="shared" si="6"/>
        <v>1</v>
      </c>
      <c r="CW218" s="23">
        <f t="shared" ref="CW218:DF218" si="7">COUNTIFS(CW5:CW215,"✓",$D$5:$D$215,"Pass")</f>
        <v>3</v>
      </c>
      <c r="CX218" s="23">
        <f t="shared" si="7"/>
        <v>2</v>
      </c>
      <c r="CY218" s="23">
        <f t="shared" si="7"/>
        <v>1</v>
      </c>
      <c r="CZ218" s="23">
        <f t="shared" si="7"/>
        <v>3</v>
      </c>
      <c r="DA218" s="23">
        <f t="shared" si="7"/>
        <v>3</v>
      </c>
      <c r="DB218" s="23">
        <f t="shared" si="7"/>
        <v>4</v>
      </c>
      <c r="DC218" s="23">
        <f t="shared" si="7"/>
        <v>5</v>
      </c>
      <c r="DD218" s="23">
        <f t="shared" si="7"/>
        <v>1</v>
      </c>
      <c r="DE218" s="23">
        <f t="shared" si="7"/>
        <v>6</v>
      </c>
      <c r="DF218" s="23">
        <f t="shared" si="7"/>
        <v>1</v>
      </c>
    </row>
    <row r="219" spans="1:110" ht="15" customHeight="1" x14ac:dyDescent="0.3">
      <c r="A219" s="23"/>
      <c r="B219" s="24" t="s">
        <v>50</v>
      </c>
      <c r="C219" s="23"/>
      <c r="D219" s="23"/>
      <c r="E219" s="23">
        <f t="shared" ref="E219:AJ219" si="8">COUNTIFS(E5:E215,"✓",$D$5:$D$215,"Fail")</f>
        <v>0</v>
      </c>
      <c r="F219" s="23">
        <f t="shared" si="8"/>
        <v>0</v>
      </c>
      <c r="G219" s="23">
        <f t="shared" si="8"/>
        <v>0</v>
      </c>
      <c r="H219" s="23">
        <f t="shared" si="8"/>
        <v>0</v>
      </c>
      <c r="I219" s="23">
        <f t="shared" si="8"/>
        <v>0</v>
      </c>
      <c r="J219" s="23">
        <f t="shared" si="8"/>
        <v>0</v>
      </c>
      <c r="K219" s="23">
        <f t="shared" si="8"/>
        <v>0</v>
      </c>
      <c r="L219" s="23">
        <f t="shared" si="8"/>
        <v>0</v>
      </c>
      <c r="M219" s="23">
        <f t="shared" si="8"/>
        <v>0</v>
      </c>
      <c r="N219" s="23">
        <f t="shared" si="8"/>
        <v>0</v>
      </c>
      <c r="O219" s="23">
        <f t="shared" si="8"/>
        <v>0</v>
      </c>
      <c r="P219" s="23">
        <f t="shared" si="8"/>
        <v>0</v>
      </c>
      <c r="Q219" s="23">
        <f t="shared" si="8"/>
        <v>0</v>
      </c>
      <c r="R219" s="23">
        <f t="shared" si="8"/>
        <v>0</v>
      </c>
      <c r="S219" s="23">
        <f t="shared" si="8"/>
        <v>0</v>
      </c>
      <c r="T219" s="23">
        <f t="shared" si="8"/>
        <v>0</v>
      </c>
      <c r="U219" s="23">
        <f t="shared" si="8"/>
        <v>0</v>
      </c>
      <c r="V219" s="23">
        <f t="shared" si="8"/>
        <v>0</v>
      </c>
      <c r="W219" s="23">
        <f t="shared" si="8"/>
        <v>0</v>
      </c>
      <c r="X219" s="23">
        <f t="shared" si="8"/>
        <v>0</v>
      </c>
      <c r="Y219" s="23">
        <f t="shared" si="8"/>
        <v>0</v>
      </c>
      <c r="Z219" s="23">
        <f t="shared" si="8"/>
        <v>0</v>
      </c>
      <c r="AA219" s="23">
        <f t="shared" si="8"/>
        <v>0</v>
      </c>
      <c r="AB219" s="23">
        <f t="shared" si="8"/>
        <v>0</v>
      </c>
      <c r="AC219" s="23">
        <f t="shared" si="8"/>
        <v>0</v>
      </c>
      <c r="AD219" s="23">
        <f t="shared" si="8"/>
        <v>0</v>
      </c>
      <c r="AE219" s="23">
        <f t="shared" si="8"/>
        <v>0</v>
      </c>
      <c r="AF219" s="23">
        <f t="shared" si="8"/>
        <v>0</v>
      </c>
      <c r="AG219" s="23">
        <f t="shared" si="8"/>
        <v>0</v>
      </c>
      <c r="AH219" s="23">
        <f t="shared" si="8"/>
        <v>0</v>
      </c>
      <c r="AI219" s="23">
        <f t="shared" si="8"/>
        <v>0</v>
      </c>
      <c r="AJ219" s="23">
        <f t="shared" si="8"/>
        <v>0</v>
      </c>
      <c r="AK219" s="23">
        <f t="shared" ref="AK219:BP219" si="9">COUNTIFS(AK5:AK215,"✓",$D$5:$D$215,"Fail")</f>
        <v>0</v>
      </c>
      <c r="AL219" s="23">
        <f t="shared" si="9"/>
        <v>0</v>
      </c>
      <c r="AM219" s="23">
        <f t="shared" si="9"/>
        <v>0</v>
      </c>
      <c r="AN219" s="23">
        <f t="shared" si="9"/>
        <v>0</v>
      </c>
      <c r="AO219" s="23">
        <f t="shared" si="9"/>
        <v>0</v>
      </c>
      <c r="AP219" s="23">
        <f t="shared" si="9"/>
        <v>0</v>
      </c>
      <c r="AQ219" s="23">
        <f t="shared" si="9"/>
        <v>0</v>
      </c>
      <c r="AR219" s="23">
        <f t="shared" si="9"/>
        <v>0</v>
      </c>
      <c r="AS219" s="23">
        <f t="shared" si="9"/>
        <v>0</v>
      </c>
      <c r="AT219" s="23">
        <f t="shared" si="9"/>
        <v>0</v>
      </c>
      <c r="AU219" s="23">
        <f t="shared" si="9"/>
        <v>0</v>
      </c>
      <c r="AV219" s="23">
        <f t="shared" si="9"/>
        <v>0</v>
      </c>
      <c r="AW219" s="23">
        <f t="shared" si="9"/>
        <v>0</v>
      </c>
      <c r="AX219" s="23">
        <f t="shared" si="9"/>
        <v>0</v>
      </c>
      <c r="AY219" s="23">
        <f t="shared" si="9"/>
        <v>0</v>
      </c>
      <c r="AZ219" s="23">
        <f t="shared" si="9"/>
        <v>0</v>
      </c>
      <c r="BA219" s="23">
        <f t="shared" si="9"/>
        <v>0</v>
      </c>
      <c r="BB219" s="23">
        <f t="shared" si="9"/>
        <v>0</v>
      </c>
      <c r="BC219" s="23">
        <f t="shared" si="9"/>
        <v>0</v>
      </c>
      <c r="BD219" s="23">
        <f t="shared" si="9"/>
        <v>0</v>
      </c>
      <c r="BE219" s="23">
        <f t="shared" si="9"/>
        <v>0</v>
      </c>
      <c r="BF219" s="23">
        <f t="shared" si="9"/>
        <v>0</v>
      </c>
      <c r="BG219" s="23">
        <f t="shared" si="9"/>
        <v>0</v>
      </c>
      <c r="BH219" s="23">
        <f t="shared" si="9"/>
        <v>0</v>
      </c>
      <c r="BI219" s="23">
        <f t="shared" si="9"/>
        <v>0</v>
      </c>
      <c r="BJ219" s="23">
        <f t="shared" si="9"/>
        <v>0</v>
      </c>
      <c r="BK219" s="23">
        <f t="shared" si="9"/>
        <v>0</v>
      </c>
      <c r="BL219" s="23">
        <f t="shared" si="9"/>
        <v>0</v>
      </c>
      <c r="BM219" s="23">
        <f t="shared" si="9"/>
        <v>0</v>
      </c>
      <c r="BN219" s="23">
        <f t="shared" si="9"/>
        <v>0</v>
      </c>
      <c r="BO219" s="23">
        <f t="shared" si="9"/>
        <v>0</v>
      </c>
      <c r="BP219" s="23">
        <f t="shared" si="9"/>
        <v>0</v>
      </c>
      <c r="BQ219" s="23">
        <f t="shared" ref="BQ219:CV219" si="10">COUNTIFS(BQ5:BQ215,"✓",$D$5:$D$215,"Fail")</f>
        <v>0</v>
      </c>
      <c r="BR219" s="23">
        <f t="shared" si="10"/>
        <v>0</v>
      </c>
      <c r="BS219" s="23">
        <f t="shared" si="10"/>
        <v>0</v>
      </c>
      <c r="BT219" s="23">
        <f t="shared" si="10"/>
        <v>0</v>
      </c>
      <c r="BU219" s="23">
        <f t="shared" si="10"/>
        <v>0</v>
      </c>
      <c r="BV219" s="23">
        <f t="shared" si="10"/>
        <v>0</v>
      </c>
      <c r="BW219" s="23">
        <f t="shared" si="10"/>
        <v>0</v>
      </c>
      <c r="BX219" s="23">
        <f t="shared" si="10"/>
        <v>0</v>
      </c>
      <c r="BY219" s="23">
        <f t="shared" si="10"/>
        <v>0</v>
      </c>
      <c r="BZ219" s="23">
        <f t="shared" si="10"/>
        <v>0</v>
      </c>
      <c r="CA219" s="23">
        <f t="shared" si="10"/>
        <v>0</v>
      </c>
      <c r="CB219" s="23">
        <f t="shared" si="10"/>
        <v>0</v>
      </c>
      <c r="CC219" s="23">
        <f t="shared" si="10"/>
        <v>0</v>
      </c>
      <c r="CD219" s="23">
        <f t="shared" si="10"/>
        <v>0</v>
      </c>
      <c r="CE219" s="23">
        <f t="shared" si="10"/>
        <v>0</v>
      </c>
      <c r="CF219" s="23">
        <f t="shared" si="10"/>
        <v>0</v>
      </c>
      <c r="CG219" s="23">
        <f t="shared" si="10"/>
        <v>0</v>
      </c>
      <c r="CH219" s="23">
        <f t="shared" si="10"/>
        <v>0</v>
      </c>
      <c r="CI219" s="23">
        <f t="shared" si="10"/>
        <v>0</v>
      </c>
      <c r="CJ219" s="23">
        <f t="shared" si="10"/>
        <v>0</v>
      </c>
      <c r="CK219" s="23">
        <f t="shared" si="10"/>
        <v>0</v>
      </c>
      <c r="CL219" s="23">
        <f t="shared" si="10"/>
        <v>0</v>
      </c>
      <c r="CM219" s="23">
        <f t="shared" si="10"/>
        <v>0</v>
      </c>
      <c r="CN219" s="23">
        <f t="shared" si="10"/>
        <v>0</v>
      </c>
      <c r="CO219" s="23">
        <f t="shared" si="10"/>
        <v>0</v>
      </c>
      <c r="CP219" s="23">
        <f t="shared" si="10"/>
        <v>0</v>
      </c>
      <c r="CQ219" s="23">
        <f t="shared" si="10"/>
        <v>0</v>
      </c>
      <c r="CR219" s="23">
        <f t="shared" si="10"/>
        <v>0</v>
      </c>
      <c r="CS219" s="23">
        <f t="shared" si="10"/>
        <v>0</v>
      </c>
      <c r="CT219" s="23">
        <f t="shared" si="10"/>
        <v>0</v>
      </c>
      <c r="CU219" s="23">
        <f t="shared" si="10"/>
        <v>0</v>
      </c>
      <c r="CV219" s="23">
        <f t="shared" si="10"/>
        <v>0</v>
      </c>
      <c r="CW219" s="23">
        <f t="shared" ref="CW219:DF219" si="11">COUNTIFS(CW5:CW215,"✓",$D$5:$D$215,"Fail")</f>
        <v>0</v>
      </c>
      <c r="CX219" s="23">
        <f t="shared" si="11"/>
        <v>0</v>
      </c>
      <c r="CY219" s="23">
        <f t="shared" si="11"/>
        <v>0</v>
      </c>
      <c r="CZ219" s="23">
        <f t="shared" si="11"/>
        <v>0</v>
      </c>
      <c r="DA219" s="23">
        <f t="shared" si="11"/>
        <v>0</v>
      </c>
      <c r="DB219" s="23">
        <f t="shared" si="11"/>
        <v>0</v>
      </c>
      <c r="DC219" s="23">
        <f t="shared" si="11"/>
        <v>0</v>
      </c>
      <c r="DD219" s="23">
        <f t="shared" si="11"/>
        <v>0</v>
      </c>
      <c r="DE219" s="23">
        <f t="shared" si="11"/>
        <v>0</v>
      </c>
      <c r="DF219" s="23">
        <f t="shared" si="11"/>
        <v>0</v>
      </c>
    </row>
    <row r="220" spans="1:110" ht="15" customHeight="1" x14ac:dyDescent="0.3">
      <c r="A220" s="23"/>
      <c r="B220" s="24" t="s">
        <v>1819</v>
      </c>
      <c r="C220" s="23"/>
      <c r="D220" s="23"/>
      <c r="E220" s="23">
        <f t="shared" ref="E220:AJ220" si="12">COUNTIFS(E5:E215,"✓",$D$5:$D$215,"Not Run")</f>
        <v>0</v>
      </c>
      <c r="F220" s="23">
        <f t="shared" si="12"/>
        <v>0</v>
      </c>
      <c r="G220" s="23">
        <f t="shared" si="12"/>
        <v>0</v>
      </c>
      <c r="H220" s="23">
        <f t="shared" si="12"/>
        <v>0</v>
      </c>
      <c r="I220" s="23">
        <f t="shared" si="12"/>
        <v>0</v>
      </c>
      <c r="J220" s="23">
        <f t="shared" si="12"/>
        <v>0</v>
      </c>
      <c r="K220" s="23">
        <f t="shared" si="12"/>
        <v>0</v>
      </c>
      <c r="L220" s="23">
        <f t="shared" si="12"/>
        <v>0</v>
      </c>
      <c r="M220" s="23">
        <f t="shared" si="12"/>
        <v>0</v>
      </c>
      <c r="N220" s="23">
        <f t="shared" si="12"/>
        <v>0</v>
      </c>
      <c r="O220" s="23">
        <f t="shared" si="12"/>
        <v>0</v>
      </c>
      <c r="P220" s="23">
        <f t="shared" si="12"/>
        <v>0</v>
      </c>
      <c r="Q220" s="23">
        <f t="shared" si="12"/>
        <v>0</v>
      </c>
      <c r="R220" s="23">
        <f t="shared" si="12"/>
        <v>0</v>
      </c>
      <c r="S220" s="23">
        <f t="shared" si="12"/>
        <v>0</v>
      </c>
      <c r="T220" s="23">
        <f t="shared" si="12"/>
        <v>0</v>
      </c>
      <c r="U220" s="23">
        <f t="shared" si="12"/>
        <v>0</v>
      </c>
      <c r="V220" s="23">
        <f t="shared" si="12"/>
        <v>0</v>
      </c>
      <c r="W220" s="23">
        <f t="shared" si="12"/>
        <v>0</v>
      </c>
      <c r="X220" s="23">
        <f t="shared" si="12"/>
        <v>0</v>
      </c>
      <c r="Y220" s="23">
        <f t="shared" si="12"/>
        <v>0</v>
      </c>
      <c r="Z220" s="23">
        <f t="shared" si="12"/>
        <v>0</v>
      </c>
      <c r="AA220" s="23">
        <f t="shared" si="12"/>
        <v>0</v>
      </c>
      <c r="AB220" s="23">
        <f t="shared" si="12"/>
        <v>0</v>
      </c>
      <c r="AC220" s="23">
        <f t="shared" si="12"/>
        <v>0</v>
      </c>
      <c r="AD220" s="23">
        <f t="shared" si="12"/>
        <v>0</v>
      </c>
      <c r="AE220" s="23">
        <f t="shared" si="12"/>
        <v>0</v>
      </c>
      <c r="AF220" s="23">
        <f t="shared" si="12"/>
        <v>0</v>
      </c>
      <c r="AG220" s="23">
        <f t="shared" si="12"/>
        <v>0</v>
      </c>
      <c r="AH220" s="23">
        <f t="shared" si="12"/>
        <v>0</v>
      </c>
      <c r="AI220" s="23">
        <f t="shared" si="12"/>
        <v>0</v>
      </c>
      <c r="AJ220" s="23">
        <f t="shared" si="12"/>
        <v>0</v>
      </c>
      <c r="AK220" s="23">
        <f t="shared" ref="AK220:BP220" si="13">COUNTIFS(AK5:AK215,"✓",$D$5:$D$215,"Not Run")</f>
        <v>0</v>
      </c>
      <c r="AL220" s="23">
        <f t="shared" si="13"/>
        <v>0</v>
      </c>
      <c r="AM220" s="23">
        <f t="shared" si="13"/>
        <v>0</v>
      </c>
      <c r="AN220" s="23">
        <f t="shared" si="13"/>
        <v>0</v>
      </c>
      <c r="AO220" s="23">
        <f t="shared" si="13"/>
        <v>0</v>
      </c>
      <c r="AP220" s="23">
        <f t="shared" si="13"/>
        <v>0</v>
      </c>
      <c r="AQ220" s="23">
        <f t="shared" si="13"/>
        <v>0</v>
      </c>
      <c r="AR220" s="23">
        <f t="shared" si="13"/>
        <v>0</v>
      </c>
      <c r="AS220" s="23">
        <f t="shared" si="13"/>
        <v>0</v>
      </c>
      <c r="AT220" s="23">
        <f t="shared" si="13"/>
        <v>0</v>
      </c>
      <c r="AU220" s="23">
        <f t="shared" si="13"/>
        <v>0</v>
      </c>
      <c r="AV220" s="23">
        <f t="shared" si="13"/>
        <v>0</v>
      </c>
      <c r="AW220" s="23">
        <f t="shared" si="13"/>
        <v>0</v>
      </c>
      <c r="AX220" s="23">
        <f t="shared" si="13"/>
        <v>0</v>
      </c>
      <c r="AY220" s="23">
        <f t="shared" si="13"/>
        <v>0</v>
      </c>
      <c r="AZ220" s="23">
        <f t="shared" si="13"/>
        <v>0</v>
      </c>
      <c r="BA220" s="23">
        <f t="shared" si="13"/>
        <v>0</v>
      </c>
      <c r="BB220" s="23">
        <f t="shared" si="13"/>
        <v>0</v>
      </c>
      <c r="BC220" s="23">
        <f t="shared" si="13"/>
        <v>0</v>
      </c>
      <c r="BD220" s="23">
        <f t="shared" si="13"/>
        <v>0</v>
      </c>
      <c r="BE220" s="23">
        <f t="shared" si="13"/>
        <v>0</v>
      </c>
      <c r="BF220" s="23">
        <f t="shared" si="13"/>
        <v>0</v>
      </c>
      <c r="BG220" s="23">
        <f t="shared" si="13"/>
        <v>0</v>
      </c>
      <c r="BH220" s="23">
        <f t="shared" si="13"/>
        <v>0</v>
      </c>
      <c r="BI220" s="23">
        <f t="shared" si="13"/>
        <v>0</v>
      </c>
      <c r="BJ220" s="23">
        <f t="shared" si="13"/>
        <v>0</v>
      </c>
      <c r="BK220" s="23">
        <f t="shared" si="13"/>
        <v>0</v>
      </c>
      <c r="BL220" s="23">
        <f t="shared" si="13"/>
        <v>0</v>
      </c>
      <c r="BM220" s="23">
        <f t="shared" si="13"/>
        <v>0</v>
      </c>
      <c r="BN220" s="23">
        <f t="shared" si="13"/>
        <v>0</v>
      </c>
      <c r="BO220" s="23">
        <f t="shared" si="13"/>
        <v>0</v>
      </c>
      <c r="BP220" s="23">
        <f t="shared" si="13"/>
        <v>0</v>
      </c>
      <c r="BQ220" s="23">
        <f t="shared" ref="BQ220:CV220" si="14">COUNTIFS(BQ5:BQ215,"✓",$D$5:$D$215,"Not Run")</f>
        <v>0</v>
      </c>
      <c r="BR220" s="23">
        <f t="shared" si="14"/>
        <v>0</v>
      </c>
      <c r="BS220" s="23">
        <f t="shared" si="14"/>
        <v>0</v>
      </c>
      <c r="BT220" s="23">
        <f t="shared" si="14"/>
        <v>0</v>
      </c>
      <c r="BU220" s="23">
        <f t="shared" si="14"/>
        <v>0</v>
      </c>
      <c r="BV220" s="23">
        <f t="shared" si="14"/>
        <v>0</v>
      </c>
      <c r="BW220" s="23">
        <f t="shared" si="14"/>
        <v>0</v>
      </c>
      <c r="BX220" s="23">
        <f t="shared" si="14"/>
        <v>0</v>
      </c>
      <c r="BY220" s="23">
        <f t="shared" si="14"/>
        <v>0</v>
      </c>
      <c r="BZ220" s="23">
        <f t="shared" si="14"/>
        <v>0</v>
      </c>
      <c r="CA220" s="23">
        <f t="shared" si="14"/>
        <v>0</v>
      </c>
      <c r="CB220" s="23">
        <f t="shared" si="14"/>
        <v>0</v>
      </c>
      <c r="CC220" s="23">
        <f t="shared" si="14"/>
        <v>0</v>
      </c>
      <c r="CD220" s="23">
        <f t="shared" si="14"/>
        <v>0</v>
      </c>
      <c r="CE220" s="23">
        <f t="shared" si="14"/>
        <v>0</v>
      </c>
      <c r="CF220" s="23">
        <f t="shared" si="14"/>
        <v>0</v>
      </c>
      <c r="CG220" s="23">
        <f t="shared" si="14"/>
        <v>0</v>
      </c>
      <c r="CH220" s="23">
        <f t="shared" si="14"/>
        <v>0</v>
      </c>
      <c r="CI220" s="23">
        <f t="shared" si="14"/>
        <v>0</v>
      </c>
      <c r="CJ220" s="23">
        <f t="shared" si="14"/>
        <v>0</v>
      </c>
      <c r="CK220" s="23">
        <f t="shared" si="14"/>
        <v>0</v>
      </c>
      <c r="CL220" s="23">
        <f t="shared" si="14"/>
        <v>0</v>
      </c>
      <c r="CM220" s="23">
        <f t="shared" si="14"/>
        <v>0</v>
      </c>
      <c r="CN220" s="23">
        <f t="shared" si="14"/>
        <v>0</v>
      </c>
      <c r="CO220" s="23">
        <f t="shared" si="14"/>
        <v>0</v>
      </c>
      <c r="CP220" s="23">
        <f t="shared" si="14"/>
        <v>0</v>
      </c>
      <c r="CQ220" s="23">
        <f t="shared" si="14"/>
        <v>0</v>
      </c>
      <c r="CR220" s="23">
        <f t="shared" si="14"/>
        <v>0</v>
      </c>
      <c r="CS220" s="23">
        <f t="shared" si="14"/>
        <v>0</v>
      </c>
      <c r="CT220" s="23">
        <f t="shared" si="14"/>
        <v>0</v>
      </c>
      <c r="CU220" s="23">
        <f t="shared" si="14"/>
        <v>0</v>
      </c>
      <c r="CV220" s="23">
        <f t="shared" si="14"/>
        <v>0</v>
      </c>
      <c r="CW220" s="23">
        <f t="shared" ref="CW220:DF220" si="15">COUNTIFS(CW5:CW215,"✓",$D$5:$D$215,"Not Run")</f>
        <v>0</v>
      </c>
      <c r="CX220" s="23">
        <f t="shared" si="15"/>
        <v>0</v>
      </c>
      <c r="CY220" s="23">
        <f t="shared" si="15"/>
        <v>0</v>
      </c>
      <c r="CZ220" s="23">
        <f t="shared" si="15"/>
        <v>0</v>
      </c>
      <c r="DA220" s="23">
        <f t="shared" si="15"/>
        <v>0</v>
      </c>
      <c r="DB220" s="23">
        <f t="shared" si="15"/>
        <v>0</v>
      </c>
      <c r="DC220" s="23">
        <f t="shared" si="15"/>
        <v>0</v>
      </c>
      <c r="DD220" s="23">
        <f t="shared" si="15"/>
        <v>0</v>
      </c>
      <c r="DE220" s="23">
        <f t="shared" si="15"/>
        <v>0</v>
      </c>
      <c r="DF220" s="23">
        <f t="shared" si="15"/>
        <v>0</v>
      </c>
    </row>
    <row r="221" spans="1:110" ht="15" customHeight="1" x14ac:dyDescent="0.3">
      <c r="A221" s="23"/>
      <c r="B221" s="24" t="s">
        <v>1820</v>
      </c>
      <c r="C221" s="23"/>
      <c r="D221" s="23"/>
      <c r="E221" s="23" t="str">
        <f t="shared" ref="E221:AJ221" si="16">IF(E217=0,"Yoxdur","✓")</f>
        <v>✓</v>
      </c>
      <c r="F221" s="23" t="str">
        <f t="shared" si="16"/>
        <v>✓</v>
      </c>
      <c r="G221" s="23" t="str">
        <f t="shared" si="16"/>
        <v>✓</v>
      </c>
      <c r="H221" s="23" t="str">
        <f t="shared" si="16"/>
        <v>✓</v>
      </c>
      <c r="I221" s="23" t="str">
        <f t="shared" si="16"/>
        <v>✓</v>
      </c>
      <c r="J221" s="23" t="str">
        <f t="shared" si="16"/>
        <v>✓</v>
      </c>
      <c r="K221" s="23" t="str">
        <f t="shared" si="16"/>
        <v>✓</v>
      </c>
      <c r="L221" s="23" t="str">
        <f t="shared" si="16"/>
        <v>✓</v>
      </c>
      <c r="M221" s="23" t="str">
        <f t="shared" si="16"/>
        <v>✓</v>
      </c>
      <c r="N221" s="23" t="str">
        <f t="shared" si="16"/>
        <v>✓</v>
      </c>
      <c r="O221" s="23" t="str">
        <f t="shared" si="16"/>
        <v>✓</v>
      </c>
      <c r="P221" s="23" t="str">
        <f t="shared" si="16"/>
        <v>✓</v>
      </c>
      <c r="Q221" s="23" t="str">
        <f t="shared" si="16"/>
        <v>✓</v>
      </c>
      <c r="R221" s="23" t="str">
        <f t="shared" si="16"/>
        <v>✓</v>
      </c>
      <c r="S221" s="23" t="str">
        <f t="shared" si="16"/>
        <v>✓</v>
      </c>
      <c r="T221" s="23" t="str">
        <f t="shared" si="16"/>
        <v>✓</v>
      </c>
      <c r="U221" s="23" t="str">
        <f t="shared" si="16"/>
        <v>✓</v>
      </c>
      <c r="V221" s="23" t="str">
        <f t="shared" si="16"/>
        <v>✓</v>
      </c>
      <c r="W221" s="23" t="str">
        <f t="shared" si="16"/>
        <v>✓</v>
      </c>
      <c r="X221" s="23" t="str">
        <f t="shared" si="16"/>
        <v>✓</v>
      </c>
      <c r="Y221" s="23" t="str">
        <f t="shared" si="16"/>
        <v>✓</v>
      </c>
      <c r="Z221" s="23" t="str">
        <f t="shared" si="16"/>
        <v>✓</v>
      </c>
      <c r="AA221" s="23" t="str">
        <f t="shared" si="16"/>
        <v>✓</v>
      </c>
      <c r="AB221" s="23" t="str">
        <f t="shared" si="16"/>
        <v>✓</v>
      </c>
      <c r="AC221" s="23" t="str">
        <f t="shared" si="16"/>
        <v>✓</v>
      </c>
      <c r="AD221" s="23" t="str">
        <f t="shared" si="16"/>
        <v>✓</v>
      </c>
      <c r="AE221" s="23" t="str">
        <f t="shared" si="16"/>
        <v>✓</v>
      </c>
      <c r="AF221" s="23" t="str">
        <f t="shared" si="16"/>
        <v>✓</v>
      </c>
      <c r="AG221" s="23" t="str">
        <f t="shared" si="16"/>
        <v>✓</v>
      </c>
      <c r="AH221" s="23" t="str">
        <f t="shared" si="16"/>
        <v>✓</v>
      </c>
      <c r="AI221" s="23" t="str">
        <f t="shared" si="16"/>
        <v>✓</v>
      </c>
      <c r="AJ221" s="23" t="str">
        <f t="shared" si="16"/>
        <v>✓</v>
      </c>
      <c r="AK221" s="23" t="str">
        <f t="shared" ref="AK221:BP221" si="17">IF(AK217=0,"Yoxdur","✓")</f>
        <v>✓</v>
      </c>
      <c r="AL221" s="23" t="str">
        <f t="shared" si="17"/>
        <v>✓</v>
      </c>
      <c r="AM221" s="23" t="str">
        <f t="shared" si="17"/>
        <v>✓</v>
      </c>
      <c r="AN221" s="23" t="str">
        <f t="shared" si="17"/>
        <v>✓</v>
      </c>
      <c r="AO221" s="23" t="str">
        <f t="shared" si="17"/>
        <v>✓</v>
      </c>
      <c r="AP221" s="23" t="str">
        <f t="shared" si="17"/>
        <v>✓</v>
      </c>
      <c r="AQ221" s="23" t="str">
        <f t="shared" si="17"/>
        <v>✓</v>
      </c>
      <c r="AR221" s="23" t="str">
        <f t="shared" si="17"/>
        <v>✓</v>
      </c>
      <c r="AS221" s="23" t="str">
        <f t="shared" si="17"/>
        <v>✓</v>
      </c>
      <c r="AT221" s="23" t="str">
        <f t="shared" si="17"/>
        <v>✓</v>
      </c>
      <c r="AU221" s="23" t="str">
        <f t="shared" si="17"/>
        <v>✓</v>
      </c>
      <c r="AV221" s="23" t="str">
        <f t="shared" si="17"/>
        <v>✓</v>
      </c>
      <c r="AW221" s="23" t="str">
        <f t="shared" si="17"/>
        <v>✓</v>
      </c>
      <c r="AX221" s="23" t="str">
        <f t="shared" si="17"/>
        <v>✓</v>
      </c>
      <c r="AY221" s="23" t="str">
        <f t="shared" si="17"/>
        <v>✓</v>
      </c>
      <c r="AZ221" s="23" t="str">
        <f t="shared" si="17"/>
        <v>✓</v>
      </c>
      <c r="BA221" s="23" t="str">
        <f t="shared" si="17"/>
        <v>✓</v>
      </c>
      <c r="BB221" s="23" t="str">
        <f t="shared" si="17"/>
        <v>✓</v>
      </c>
      <c r="BC221" s="23" t="str">
        <f t="shared" si="17"/>
        <v>✓</v>
      </c>
      <c r="BD221" s="23" t="str">
        <f t="shared" si="17"/>
        <v>✓</v>
      </c>
      <c r="BE221" s="23" t="str">
        <f t="shared" si="17"/>
        <v>✓</v>
      </c>
      <c r="BF221" s="23" t="str">
        <f t="shared" si="17"/>
        <v>✓</v>
      </c>
      <c r="BG221" s="23" t="str">
        <f t="shared" si="17"/>
        <v>✓</v>
      </c>
      <c r="BH221" s="23" t="str">
        <f t="shared" si="17"/>
        <v>✓</v>
      </c>
      <c r="BI221" s="23" t="str">
        <f t="shared" si="17"/>
        <v>✓</v>
      </c>
      <c r="BJ221" s="23" t="str">
        <f t="shared" si="17"/>
        <v>✓</v>
      </c>
      <c r="BK221" s="23" t="str">
        <f t="shared" si="17"/>
        <v>✓</v>
      </c>
      <c r="BL221" s="23" t="str">
        <f t="shared" si="17"/>
        <v>✓</v>
      </c>
      <c r="BM221" s="23" t="str">
        <f t="shared" si="17"/>
        <v>✓</v>
      </c>
      <c r="BN221" s="23" t="str">
        <f t="shared" si="17"/>
        <v>✓</v>
      </c>
      <c r="BO221" s="23" t="str">
        <f t="shared" si="17"/>
        <v>✓</v>
      </c>
      <c r="BP221" s="23" t="str">
        <f t="shared" si="17"/>
        <v>✓</v>
      </c>
      <c r="BQ221" s="23" t="str">
        <f t="shared" ref="BQ221:CV221" si="18">IF(BQ217=0,"Yoxdur","✓")</f>
        <v>✓</v>
      </c>
      <c r="BR221" s="23" t="str">
        <f t="shared" si="18"/>
        <v>✓</v>
      </c>
      <c r="BS221" s="23" t="str">
        <f t="shared" si="18"/>
        <v>✓</v>
      </c>
      <c r="BT221" s="23" t="str">
        <f t="shared" si="18"/>
        <v>✓</v>
      </c>
      <c r="BU221" s="23" t="str">
        <f t="shared" si="18"/>
        <v>✓</v>
      </c>
      <c r="BV221" s="23" t="str">
        <f t="shared" si="18"/>
        <v>✓</v>
      </c>
      <c r="BW221" s="23" t="str">
        <f t="shared" si="18"/>
        <v>✓</v>
      </c>
      <c r="BX221" s="23" t="str">
        <f t="shared" si="18"/>
        <v>✓</v>
      </c>
      <c r="BY221" s="23" t="str">
        <f t="shared" si="18"/>
        <v>✓</v>
      </c>
      <c r="BZ221" s="23" t="str">
        <f t="shared" si="18"/>
        <v>✓</v>
      </c>
      <c r="CA221" s="23" t="str">
        <f t="shared" si="18"/>
        <v>✓</v>
      </c>
      <c r="CB221" s="23" t="str">
        <f t="shared" si="18"/>
        <v>✓</v>
      </c>
      <c r="CC221" s="23" t="str">
        <f t="shared" si="18"/>
        <v>✓</v>
      </c>
      <c r="CD221" s="23" t="str">
        <f t="shared" si="18"/>
        <v>✓</v>
      </c>
      <c r="CE221" s="23" t="str">
        <f t="shared" si="18"/>
        <v>✓</v>
      </c>
      <c r="CF221" s="23" t="str">
        <f t="shared" si="18"/>
        <v>✓</v>
      </c>
      <c r="CG221" s="23" t="str">
        <f t="shared" si="18"/>
        <v>✓</v>
      </c>
      <c r="CH221" s="23" t="str">
        <f t="shared" si="18"/>
        <v>✓</v>
      </c>
      <c r="CI221" s="23" t="str">
        <f t="shared" si="18"/>
        <v>✓</v>
      </c>
      <c r="CJ221" s="23" t="str">
        <f t="shared" si="18"/>
        <v>✓</v>
      </c>
      <c r="CK221" s="23" t="str">
        <f t="shared" si="18"/>
        <v>✓</v>
      </c>
      <c r="CL221" s="23" t="str">
        <f t="shared" si="18"/>
        <v>✓</v>
      </c>
      <c r="CM221" s="23" t="str">
        <f t="shared" si="18"/>
        <v>✓</v>
      </c>
      <c r="CN221" s="23" t="str">
        <f t="shared" si="18"/>
        <v>✓</v>
      </c>
      <c r="CO221" s="23" t="str">
        <f t="shared" si="18"/>
        <v>✓</v>
      </c>
      <c r="CP221" s="23" t="str">
        <f t="shared" si="18"/>
        <v>✓</v>
      </c>
      <c r="CQ221" s="23" t="str">
        <f t="shared" si="18"/>
        <v>✓</v>
      </c>
      <c r="CR221" s="23" t="str">
        <f t="shared" si="18"/>
        <v>✓</v>
      </c>
      <c r="CS221" s="23" t="str">
        <f t="shared" si="18"/>
        <v>✓</v>
      </c>
      <c r="CT221" s="23" t="str">
        <f t="shared" si="18"/>
        <v>✓</v>
      </c>
      <c r="CU221" s="23" t="str">
        <f t="shared" si="18"/>
        <v>✓</v>
      </c>
      <c r="CV221" s="23" t="str">
        <f t="shared" si="18"/>
        <v>✓</v>
      </c>
      <c r="CW221" s="23" t="str">
        <f t="shared" ref="CW221:DF221" si="19">IF(CW217=0,"Yoxdur","✓")</f>
        <v>✓</v>
      </c>
      <c r="CX221" s="23" t="str">
        <f t="shared" si="19"/>
        <v>✓</v>
      </c>
      <c r="CY221" s="23" t="str">
        <f t="shared" si="19"/>
        <v>✓</v>
      </c>
      <c r="CZ221" s="23" t="str">
        <f t="shared" si="19"/>
        <v>✓</v>
      </c>
      <c r="DA221" s="23" t="str">
        <f t="shared" si="19"/>
        <v>✓</v>
      </c>
      <c r="DB221" s="23" t="str">
        <f t="shared" si="19"/>
        <v>✓</v>
      </c>
      <c r="DC221" s="23" t="str">
        <f t="shared" si="19"/>
        <v>✓</v>
      </c>
      <c r="DD221" s="23" t="str">
        <f t="shared" si="19"/>
        <v>✓</v>
      </c>
      <c r="DE221" s="23" t="str">
        <f t="shared" si="19"/>
        <v>✓</v>
      </c>
      <c r="DF221" s="23" t="str">
        <f t="shared" si="19"/>
        <v>✓</v>
      </c>
    </row>
  </sheetData>
  <autoFilter ref="A4:DF4" xr:uid="{00000000-0009-0000-0000-000003000000}"/>
  <mergeCells count="1">
    <mergeCell ref="A2:D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6" customWidth="1"/>
    <col min="2" max="2" width="40" customWidth="1"/>
    <col min="3" max="3" width="18" customWidth="1"/>
    <col min="4" max="4" width="24" customWidth="1"/>
    <col min="5" max="5" width="30" customWidth="1"/>
    <col min="6" max="6" width="52" customWidth="1"/>
    <col min="7" max="7" width="42" customWidth="1"/>
    <col min="8" max="8" width="52" customWidth="1"/>
    <col min="9" max="10" width="11" customWidth="1"/>
    <col min="11" max="11" width="10" customWidth="1"/>
    <col min="12" max="12" width="34" customWidth="1"/>
    <col min="13" max="13" width="13" customWidth="1"/>
    <col min="14" max="14" width="26" customWidth="1"/>
    <col min="15" max="15" width="40" customWidth="1"/>
  </cols>
  <sheetData>
    <row r="1" spans="1:15" ht="32.25" customHeight="1" x14ac:dyDescent="0.3">
      <c r="A1" s="10" t="s">
        <v>1821</v>
      </c>
    </row>
    <row r="4" spans="1:15" ht="54.75" customHeight="1" x14ac:dyDescent="0.3">
      <c r="A4" s="18" t="s">
        <v>164</v>
      </c>
      <c r="B4" s="18" t="s">
        <v>1709</v>
      </c>
      <c r="C4" s="18" t="s">
        <v>45</v>
      </c>
      <c r="D4" s="18" t="s">
        <v>1822</v>
      </c>
      <c r="E4" s="18" t="s">
        <v>21</v>
      </c>
      <c r="F4" s="18" t="s">
        <v>1823</v>
      </c>
      <c r="G4" s="18" t="s">
        <v>157</v>
      </c>
      <c r="H4" s="18" t="s">
        <v>1824</v>
      </c>
      <c r="I4" s="18" t="s">
        <v>1825</v>
      </c>
      <c r="J4" s="18" t="s">
        <v>1826</v>
      </c>
      <c r="K4" s="18" t="s">
        <v>159</v>
      </c>
      <c r="L4" s="18" t="s">
        <v>1827</v>
      </c>
      <c r="M4" s="18" t="s">
        <v>1828</v>
      </c>
      <c r="N4" s="18" t="s">
        <v>1829</v>
      </c>
      <c r="O4" s="18" t="s">
        <v>166</v>
      </c>
    </row>
    <row r="5" spans="1:15" ht="229.5" customHeight="1" x14ac:dyDescent="0.3">
      <c r="A5" s="13" t="s">
        <v>1110</v>
      </c>
      <c r="B5" s="13" t="s">
        <v>1830</v>
      </c>
      <c r="C5" s="13" t="s">
        <v>1831</v>
      </c>
      <c r="D5" s="13" t="s">
        <v>1832</v>
      </c>
      <c r="E5" s="13" t="s">
        <v>1833</v>
      </c>
      <c r="F5" s="13" t="s">
        <v>1834</v>
      </c>
      <c r="G5" s="13" t="s">
        <v>1835</v>
      </c>
      <c r="H5" s="13" t="s">
        <v>1836</v>
      </c>
      <c r="I5" s="13" t="s">
        <v>1837</v>
      </c>
      <c r="J5" s="13" t="s">
        <v>1837</v>
      </c>
      <c r="K5" s="13" t="s">
        <v>1838</v>
      </c>
      <c r="L5" s="13" t="s">
        <v>1839</v>
      </c>
      <c r="M5" s="13" t="s">
        <v>1840</v>
      </c>
      <c r="N5" s="13" t="s">
        <v>1841</v>
      </c>
      <c r="O5" s="13" t="s">
        <v>1842</v>
      </c>
    </row>
    <row r="6" spans="1:15" ht="229.5" customHeight="1" x14ac:dyDescent="0.3">
      <c r="A6" s="13" t="s">
        <v>1194</v>
      </c>
      <c r="B6" s="13" t="s">
        <v>1843</v>
      </c>
      <c r="C6" s="13" t="s">
        <v>1831</v>
      </c>
      <c r="D6" s="13" t="s">
        <v>1832</v>
      </c>
      <c r="E6" s="13" t="s">
        <v>1833</v>
      </c>
      <c r="F6" s="13" t="s">
        <v>1844</v>
      </c>
      <c r="G6" s="13" t="s">
        <v>1845</v>
      </c>
      <c r="H6" s="13" t="s">
        <v>1846</v>
      </c>
      <c r="I6" s="13" t="s">
        <v>1847</v>
      </c>
      <c r="J6" s="13" t="s">
        <v>1847</v>
      </c>
      <c r="K6" s="13" t="s">
        <v>1838</v>
      </c>
      <c r="L6" s="13" t="s">
        <v>1848</v>
      </c>
      <c r="M6" s="13" t="s">
        <v>1840</v>
      </c>
      <c r="N6" s="13" t="s">
        <v>1849</v>
      </c>
      <c r="O6" s="13" t="s">
        <v>1850</v>
      </c>
    </row>
    <row r="7" spans="1:15" ht="229.5" customHeight="1" x14ac:dyDescent="0.3">
      <c r="A7" s="13" t="s">
        <v>1221</v>
      </c>
      <c r="B7" s="13" t="s">
        <v>1851</v>
      </c>
      <c r="C7" s="13" t="s">
        <v>1852</v>
      </c>
      <c r="D7" s="13" t="s">
        <v>1853</v>
      </c>
      <c r="E7" s="13" t="s">
        <v>1833</v>
      </c>
      <c r="F7" s="13" t="s">
        <v>1854</v>
      </c>
      <c r="G7" s="13" t="s">
        <v>1855</v>
      </c>
      <c r="H7" s="13" t="s">
        <v>1856</v>
      </c>
      <c r="I7" s="13" t="s">
        <v>1847</v>
      </c>
      <c r="J7" s="13" t="s">
        <v>1837</v>
      </c>
      <c r="K7" s="13" t="s">
        <v>1838</v>
      </c>
      <c r="L7" s="13" t="s">
        <v>1857</v>
      </c>
      <c r="M7" s="13" t="s">
        <v>1840</v>
      </c>
      <c r="N7" s="13" t="s">
        <v>1858</v>
      </c>
      <c r="O7" s="13" t="s">
        <v>1859</v>
      </c>
    </row>
  </sheetData>
  <autoFilter ref="A4:O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</vt:lpstr>
      <vt:lpstr>Test Scenarios</vt:lpstr>
      <vt:lpstr>API Test Cases</vt:lpstr>
      <vt:lpstr>RTM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Maleyka Alili</cp:lastModifiedBy>
  <cp:revision>0</cp:revision>
  <dcterms:created xsi:type="dcterms:W3CDTF">2026-10-11T09:59:32Z</dcterms:created>
  <dcterms:modified xsi:type="dcterms:W3CDTF">2026-10-16T17:56:17Z</dcterms:modified>
  <dc:language>en-US</dc:language>
</cp:coreProperties>
</file>