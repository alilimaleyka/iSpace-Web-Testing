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b3ed3753589691d/Desktop/QA Bitirmə Layihəsi/"/>
    </mc:Choice>
  </mc:AlternateContent>
  <xr:revisionPtr revIDLastSave="6" documentId="11_8BE7A7CCE31F39BCFE6D04A3856A86E38D9792AF" xr6:coauthVersionLast="47" xr6:coauthVersionMax="47" xr10:uidLastSave="{4B3B77D9-74D7-47FA-9242-CAB84D668CB2}"/>
  <bookViews>
    <workbookView xWindow="-108" yWindow="-108" windowWidth="23256" windowHeight="12456" tabRatio="500" activeTab="1" xr2:uid="{00000000-000D-0000-FFFF-FFFF00000000}"/>
  </bookViews>
  <sheets>
    <sheet name="Test Plan" sheetId="1" r:id="rId1"/>
    <sheet name="Test Scenarios" sheetId="2" r:id="rId2"/>
    <sheet name="Web Test Cases" sheetId="3" r:id="rId3"/>
    <sheet name="RTM" sheetId="4" r:id="rId4"/>
    <sheet name="Decision Matrix" sheetId="5" r:id="rId5"/>
    <sheet name="Bug Reports" sheetId="6" r:id="rId6"/>
    <sheet name="Test Summary Report" sheetId="7" r:id="rId7"/>
  </sheets>
  <definedNames>
    <definedName name="_xlnm._FilterDatabase" localSheetId="5" hidden="1">'Bug Reports'!$A$4:$M$39</definedName>
    <definedName name="_xlnm._FilterDatabase" localSheetId="1" hidden="1">'Test Scenarios'!$A$4:$H$29</definedName>
    <definedName name="_xlnm._FilterDatabase" localSheetId="2" hidden="1">'Web Test Cases'!$A$4:$T$130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5" i="7" l="1"/>
  <c r="B34" i="7"/>
  <c r="B33" i="7"/>
  <c r="B32" i="7"/>
  <c r="B31" i="7"/>
  <c r="B30" i="7"/>
  <c r="E26" i="7"/>
  <c r="D26" i="7"/>
  <c r="C26" i="7"/>
  <c r="B26" i="7"/>
  <c r="E25" i="7"/>
  <c r="D25" i="7"/>
  <c r="C25" i="7"/>
  <c r="F25" i="7" s="1"/>
  <c r="B25" i="7"/>
  <c r="E24" i="7"/>
  <c r="D24" i="7"/>
  <c r="C24" i="7"/>
  <c r="B24" i="7"/>
  <c r="E23" i="7"/>
  <c r="D23" i="7"/>
  <c r="C23" i="7"/>
  <c r="F23" i="7" s="1"/>
  <c r="B23" i="7"/>
  <c r="E22" i="7"/>
  <c r="D22" i="7"/>
  <c r="C22" i="7"/>
  <c r="B22" i="7"/>
  <c r="E21" i="7"/>
  <c r="D21" i="7"/>
  <c r="C21" i="7"/>
  <c r="F21" i="7" s="1"/>
  <c r="B21" i="7"/>
  <c r="E20" i="7"/>
  <c r="D20" i="7"/>
  <c r="C20" i="7"/>
  <c r="B20" i="7"/>
  <c r="E19" i="7"/>
  <c r="D19" i="7"/>
  <c r="C19" i="7"/>
  <c r="B19" i="7"/>
  <c r="B14" i="7"/>
  <c r="B13" i="7"/>
  <c r="B12" i="7"/>
  <c r="B11" i="7"/>
  <c r="B10" i="7"/>
  <c r="X132" i="4"/>
  <c r="W132" i="4"/>
  <c r="V132" i="4"/>
  <c r="U132" i="4"/>
  <c r="T132" i="4"/>
  <c r="S132" i="4"/>
  <c r="R132" i="4"/>
  <c r="Q132" i="4"/>
  <c r="P132" i="4"/>
  <c r="O132" i="4"/>
  <c r="N132" i="4"/>
  <c r="M132" i="4"/>
  <c r="L132" i="4"/>
  <c r="K132" i="4"/>
  <c r="J132" i="4"/>
  <c r="I132" i="4"/>
  <c r="H132" i="4"/>
  <c r="G132" i="4"/>
  <c r="F132" i="4"/>
  <c r="E132" i="4"/>
  <c r="D130" i="4"/>
  <c r="C130" i="4"/>
  <c r="B130" i="4"/>
  <c r="A130" i="4"/>
  <c r="D129" i="4"/>
  <c r="C129" i="4"/>
  <c r="B129" i="4"/>
  <c r="A129" i="4"/>
  <c r="D128" i="4"/>
  <c r="C128" i="4"/>
  <c r="B128" i="4"/>
  <c r="A128" i="4"/>
  <c r="D127" i="4"/>
  <c r="C127" i="4"/>
  <c r="B127" i="4"/>
  <c r="A127" i="4"/>
  <c r="D126" i="4"/>
  <c r="C126" i="4"/>
  <c r="B126" i="4"/>
  <c r="A126" i="4"/>
  <c r="D125" i="4"/>
  <c r="C125" i="4"/>
  <c r="B125" i="4"/>
  <c r="A125" i="4"/>
  <c r="D124" i="4"/>
  <c r="C124" i="4"/>
  <c r="B124" i="4"/>
  <c r="A124" i="4"/>
  <c r="D123" i="4"/>
  <c r="C123" i="4"/>
  <c r="B123" i="4"/>
  <c r="A123" i="4"/>
  <c r="D122" i="4"/>
  <c r="C122" i="4"/>
  <c r="B122" i="4"/>
  <c r="A122" i="4"/>
  <c r="D121" i="4"/>
  <c r="C121" i="4"/>
  <c r="B121" i="4"/>
  <c r="A121" i="4"/>
  <c r="D120" i="4"/>
  <c r="C120" i="4"/>
  <c r="B120" i="4"/>
  <c r="A120" i="4"/>
  <c r="D119" i="4"/>
  <c r="C119" i="4"/>
  <c r="B119" i="4"/>
  <c r="A119" i="4"/>
  <c r="D118" i="4"/>
  <c r="C118" i="4"/>
  <c r="B118" i="4"/>
  <c r="A118" i="4"/>
  <c r="D117" i="4"/>
  <c r="C117" i="4"/>
  <c r="B117" i="4"/>
  <c r="A117" i="4"/>
  <c r="D116" i="4"/>
  <c r="C116" i="4"/>
  <c r="B116" i="4"/>
  <c r="A116" i="4"/>
  <c r="D115" i="4"/>
  <c r="C115" i="4"/>
  <c r="B115" i="4"/>
  <c r="A115" i="4"/>
  <c r="D114" i="4"/>
  <c r="C114" i="4"/>
  <c r="B114" i="4"/>
  <c r="A114" i="4"/>
  <c r="D113" i="4"/>
  <c r="C113" i="4"/>
  <c r="B113" i="4"/>
  <c r="A113" i="4"/>
  <c r="D112" i="4"/>
  <c r="C112" i="4"/>
  <c r="B112" i="4"/>
  <c r="A112" i="4"/>
  <c r="D111" i="4"/>
  <c r="C111" i="4"/>
  <c r="B111" i="4"/>
  <c r="A111" i="4"/>
  <c r="D110" i="4"/>
  <c r="C110" i="4"/>
  <c r="B110" i="4"/>
  <c r="A110" i="4"/>
  <c r="D109" i="4"/>
  <c r="C109" i="4"/>
  <c r="B109" i="4"/>
  <c r="A109" i="4"/>
  <c r="D108" i="4"/>
  <c r="C108" i="4"/>
  <c r="B108" i="4"/>
  <c r="A108" i="4"/>
  <c r="D107" i="4"/>
  <c r="C107" i="4"/>
  <c r="B107" i="4"/>
  <c r="A107" i="4"/>
  <c r="D106" i="4"/>
  <c r="C106" i="4"/>
  <c r="B106" i="4"/>
  <c r="A106" i="4"/>
  <c r="D105" i="4"/>
  <c r="C105" i="4"/>
  <c r="B105" i="4"/>
  <c r="A105" i="4"/>
  <c r="D104" i="4"/>
  <c r="C104" i="4"/>
  <c r="B104" i="4"/>
  <c r="A104" i="4"/>
  <c r="D103" i="4"/>
  <c r="C103" i="4"/>
  <c r="B103" i="4"/>
  <c r="A103" i="4"/>
  <c r="D102" i="4"/>
  <c r="C102" i="4"/>
  <c r="B102" i="4"/>
  <c r="A102" i="4"/>
  <c r="D101" i="4"/>
  <c r="C101" i="4"/>
  <c r="B101" i="4"/>
  <c r="A101" i="4"/>
  <c r="D100" i="4"/>
  <c r="C100" i="4"/>
  <c r="B100" i="4"/>
  <c r="A100" i="4"/>
  <c r="D99" i="4"/>
  <c r="C99" i="4"/>
  <c r="B99" i="4"/>
  <c r="A99" i="4"/>
  <c r="D98" i="4"/>
  <c r="C98" i="4"/>
  <c r="B98" i="4"/>
  <c r="A98" i="4"/>
  <c r="D97" i="4"/>
  <c r="C97" i="4"/>
  <c r="B97" i="4"/>
  <c r="A97" i="4"/>
  <c r="D96" i="4"/>
  <c r="C96" i="4"/>
  <c r="B96" i="4"/>
  <c r="A96" i="4"/>
  <c r="D95" i="4"/>
  <c r="C95" i="4"/>
  <c r="B95" i="4"/>
  <c r="A95" i="4"/>
  <c r="D94" i="4"/>
  <c r="C94" i="4"/>
  <c r="B94" i="4"/>
  <c r="A94" i="4"/>
  <c r="D93" i="4"/>
  <c r="C93" i="4"/>
  <c r="B93" i="4"/>
  <c r="A93" i="4"/>
  <c r="D92" i="4"/>
  <c r="C92" i="4"/>
  <c r="B92" i="4"/>
  <c r="A92" i="4"/>
  <c r="D91" i="4"/>
  <c r="C91" i="4"/>
  <c r="B91" i="4"/>
  <c r="A91" i="4"/>
  <c r="D90" i="4"/>
  <c r="C90" i="4"/>
  <c r="B90" i="4"/>
  <c r="A90" i="4"/>
  <c r="D89" i="4"/>
  <c r="C89" i="4"/>
  <c r="B89" i="4"/>
  <c r="A89" i="4"/>
  <c r="D88" i="4"/>
  <c r="C88" i="4"/>
  <c r="B88" i="4"/>
  <c r="A88" i="4"/>
  <c r="D87" i="4"/>
  <c r="C87" i="4"/>
  <c r="B87" i="4"/>
  <c r="A87" i="4"/>
  <c r="D86" i="4"/>
  <c r="C86" i="4"/>
  <c r="B86" i="4"/>
  <c r="A86" i="4"/>
  <c r="D85" i="4"/>
  <c r="C85" i="4"/>
  <c r="B85" i="4"/>
  <c r="A85" i="4"/>
  <c r="D84" i="4"/>
  <c r="C84" i="4"/>
  <c r="B84" i="4"/>
  <c r="A84" i="4"/>
  <c r="D83" i="4"/>
  <c r="C83" i="4"/>
  <c r="B83" i="4"/>
  <c r="A83" i="4"/>
  <c r="D82" i="4"/>
  <c r="C82" i="4"/>
  <c r="B82" i="4"/>
  <c r="A82" i="4"/>
  <c r="D81" i="4"/>
  <c r="C81" i="4"/>
  <c r="B81" i="4"/>
  <c r="A81" i="4"/>
  <c r="D80" i="4"/>
  <c r="C80" i="4"/>
  <c r="B80" i="4"/>
  <c r="A80" i="4"/>
  <c r="D79" i="4"/>
  <c r="C79" i="4"/>
  <c r="B79" i="4"/>
  <c r="A79" i="4"/>
  <c r="D78" i="4"/>
  <c r="C78" i="4"/>
  <c r="B78" i="4"/>
  <c r="A78" i="4"/>
  <c r="D77" i="4"/>
  <c r="C77" i="4"/>
  <c r="B77" i="4"/>
  <c r="A77" i="4"/>
  <c r="D76" i="4"/>
  <c r="C76" i="4"/>
  <c r="B76" i="4"/>
  <c r="A76" i="4"/>
  <c r="D75" i="4"/>
  <c r="C75" i="4"/>
  <c r="B75" i="4"/>
  <c r="A75" i="4"/>
  <c r="D74" i="4"/>
  <c r="C74" i="4"/>
  <c r="B74" i="4"/>
  <c r="A74" i="4"/>
  <c r="D73" i="4"/>
  <c r="C73" i="4"/>
  <c r="B73" i="4"/>
  <c r="A73" i="4"/>
  <c r="D72" i="4"/>
  <c r="C72" i="4"/>
  <c r="B72" i="4"/>
  <c r="A72" i="4"/>
  <c r="D71" i="4"/>
  <c r="C71" i="4"/>
  <c r="B71" i="4"/>
  <c r="A71" i="4"/>
  <c r="D70" i="4"/>
  <c r="C70" i="4"/>
  <c r="B70" i="4"/>
  <c r="A70" i="4"/>
  <c r="D69" i="4"/>
  <c r="C69" i="4"/>
  <c r="B69" i="4"/>
  <c r="A69" i="4"/>
  <c r="D68" i="4"/>
  <c r="C68" i="4"/>
  <c r="B68" i="4"/>
  <c r="A68" i="4"/>
  <c r="D67" i="4"/>
  <c r="C67" i="4"/>
  <c r="B67" i="4"/>
  <c r="A67" i="4"/>
  <c r="D66" i="4"/>
  <c r="C66" i="4"/>
  <c r="B66" i="4"/>
  <c r="A66" i="4"/>
  <c r="D65" i="4"/>
  <c r="C65" i="4"/>
  <c r="B65" i="4"/>
  <c r="A65" i="4"/>
  <c r="D64" i="4"/>
  <c r="C64" i="4"/>
  <c r="B64" i="4"/>
  <c r="A64" i="4"/>
  <c r="D63" i="4"/>
  <c r="C63" i="4"/>
  <c r="B63" i="4"/>
  <c r="A63" i="4"/>
  <c r="D62" i="4"/>
  <c r="C62" i="4"/>
  <c r="B62" i="4"/>
  <c r="A62" i="4"/>
  <c r="D61" i="4"/>
  <c r="C61" i="4"/>
  <c r="B61" i="4"/>
  <c r="A61" i="4"/>
  <c r="D60" i="4"/>
  <c r="C60" i="4"/>
  <c r="B60" i="4"/>
  <c r="A60" i="4"/>
  <c r="D59" i="4"/>
  <c r="C59" i="4"/>
  <c r="B59" i="4"/>
  <c r="A59" i="4"/>
  <c r="D58" i="4"/>
  <c r="C58" i="4"/>
  <c r="B58" i="4"/>
  <c r="A58" i="4"/>
  <c r="D57" i="4"/>
  <c r="C57" i="4"/>
  <c r="B57" i="4"/>
  <c r="A57" i="4"/>
  <c r="D56" i="4"/>
  <c r="C56" i="4"/>
  <c r="B56" i="4"/>
  <c r="A56" i="4"/>
  <c r="D55" i="4"/>
  <c r="C55" i="4"/>
  <c r="B55" i="4"/>
  <c r="A55" i="4"/>
  <c r="D54" i="4"/>
  <c r="C54" i="4"/>
  <c r="B54" i="4"/>
  <c r="A54" i="4"/>
  <c r="D53" i="4"/>
  <c r="C53" i="4"/>
  <c r="B53" i="4"/>
  <c r="A53" i="4"/>
  <c r="D52" i="4"/>
  <c r="C52" i="4"/>
  <c r="B52" i="4"/>
  <c r="A52" i="4"/>
  <c r="D51" i="4"/>
  <c r="C51" i="4"/>
  <c r="B51" i="4"/>
  <c r="A51" i="4"/>
  <c r="D50" i="4"/>
  <c r="C50" i="4"/>
  <c r="B50" i="4"/>
  <c r="A50" i="4"/>
  <c r="D49" i="4"/>
  <c r="C49" i="4"/>
  <c r="B49" i="4"/>
  <c r="A49" i="4"/>
  <c r="D48" i="4"/>
  <c r="C48" i="4"/>
  <c r="B48" i="4"/>
  <c r="A48" i="4"/>
  <c r="D47" i="4"/>
  <c r="C47" i="4"/>
  <c r="B47" i="4"/>
  <c r="A47" i="4"/>
  <c r="D46" i="4"/>
  <c r="C46" i="4"/>
  <c r="B46" i="4"/>
  <c r="A46" i="4"/>
  <c r="D45" i="4"/>
  <c r="C45" i="4"/>
  <c r="B45" i="4"/>
  <c r="A45" i="4"/>
  <c r="D44" i="4"/>
  <c r="C44" i="4"/>
  <c r="B44" i="4"/>
  <c r="A44" i="4"/>
  <c r="D43" i="4"/>
  <c r="C43" i="4"/>
  <c r="B43" i="4"/>
  <c r="A43" i="4"/>
  <c r="D42" i="4"/>
  <c r="C42" i="4"/>
  <c r="B42" i="4"/>
  <c r="A42" i="4"/>
  <c r="D41" i="4"/>
  <c r="C41" i="4"/>
  <c r="B41" i="4"/>
  <c r="A41" i="4"/>
  <c r="D40" i="4"/>
  <c r="C40" i="4"/>
  <c r="B40" i="4"/>
  <c r="A40" i="4"/>
  <c r="D39" i="4"/>
  <c r="C39" i="4"/>
  <c r="B39" i="4"/>
  <c r="A39" i="4"/>
  <c r="D38" i="4"/>
  <c r="C38" i="4"/>
  <c r="B38" i="4"/>
  <c r="A38" i="4"/>
  <c r="D37" i="4"/>
  <c r="C37" i="4"/>
  <c r="B37" i="4"/>
  <c r="A37" i="4"/>
  <c r="D36" i="4"/>
  <c r="C36" i="4"/>
  <c r="B36" i="4"/>
  <c r="A36" i="4"/>
  <c r="D35" i="4"/>
  <c r="C35" i="4"/>
  <c r="B35" i="4"/>
  <c r="A35" i="4"/>
  <c r="D34" i="4"/>
  <c r="C34" i="4"/>
  <c r="B34" i="4"/>
  <c r="A34" i="4"/>
  <c r="D33" i="4"/>
  <c r="C33" i="4"/>
  <c r="B33" i="4"/>
  <c r="A33" i="4"/>
  <c r="D32" i="4"/>
  <c r="C32" i="4"/>
  <c r="B32" i="4"/>
  <c r="A32" i="4"/>
  <c r="D31" i="4"/>
  <c r="C31" i="4"/>
  <c r="B31" i="4"/>
  <c r="A31" i="4"/>
  <c r="D30" i="4"/>
  <c r="C30" i="4"/>
  <c r="B30" i="4"/>
  <c r="A30" i="4"/>
  <c r="D29" i="4"/>
  <c r="C29" i="4"/>
  <c r="B29" i="4"/>
  <c r="A29" i="4"/>
  <c r="D28" i="4"/>
  <c r="C28" i="4"/>
  <c r="B28" i="4"/>
  <c r="A28" i="4"/>
  <c r="D27" i="4"/>
  <c r="C27" i="4"/>
  <c r="B27" i="4"/>
  <c r="A27" i="4"/>
  <c r="D26" i="4"/>
  <c r="C26" i="4"/>
  <c r="B26" i="4"/>
  <c r="A26" i="4"/>
  <c r="D25" i="4"/>
  <c r="C25" i="4"/>
  <c r="B25" i="4"/>
  <c r="A25" i="4"/>
  <c r="D24" i="4"/>
  <c r="C24" i="4"/>
  <c r="B24" i="4"/>
  <c r="A24" i="4"/>
  <c r="D23" i="4"/>
  <c r="C23" i="4"/>
  <c r="B23" i="4"/>
  <c r="A23" i="4"/>
  <c r="D22" i="4"/>
  <c r="C22" i="4"/>
  <c r="B22" i="4"/>
  <c r="A22" i="4"/>
  <c r="D21" i="4"/>
  <c r="C21" i="4"/>
  <c r="B21" i="4"/>
  <c r="A21" i="4"/>
  <c r="D20" i="4"/>
  <c r="C20" i="4"/>
  <c r="B20" i="4"/>
  <c r="A20" i="4"/>
  <c r="D19" i="4"/>
  <c r="C19" i="4"/>
  <c r="B19" i="4"/>
  <c r="A19" i="4"/>
  <c r="D18" i="4"/>
  <c r="C18" i="4"/>
  <c r="B18" i="4"/>
  <c r="A18" i="4"/>
  <c r="D17" i="4"/>
  <c r="C17" i="4"/>
  <c r="B17" i="4"/>
  <c r="A17" i="4"/>
  <c r="D16" i="4"/>
  <c r="C16" i="4"/>
  <c r="B16" i="4"/>
  <c r="A16" i="4"/>
  <c r="D15" i="4"/>
  <c r="C15" i="4"/>
  <c r="B15" i="4"/>
  <c r="A15" i="4"/>
  <c r="D14" i="4"/>
  <c r="C14" i="4"/>
  <c r="B14" i="4"/>
  <c r="A14" i="4"/>
  <c r="D13" i="4"/>
  <c r="C13" i="4"/>
  <c r="B13" i="4"/>
  <c r="A13" i="4"/>
  <c r="D12" i="4"/>
  <c r="C12" i="4"/>
  <c r="B12" i="4"/>
  <c r="A12" i="4"/>
  <c r="D11" i="4"/>
  <c r="C11" i="4"/>
  <c r="B11" i="4"/>
  <c r="A11" i="4"/>
  <c r="D10" i="4"/>
  <c r="C10" i="4"/>
  <c r="B10" i="4"/>
  <c r="A10" i="4"/>
  <c r="D9" i="4"/>
  <c r="C9" i="4"/>
  <c r="B9" i="4"/>
  <c r="A9" i="4"/>
  <c r="D8" i="4"/>
  <c r="C8" i="4"/>
  <c r="B8" i="4"/>
  <c r="A8" i="4"/>
  <c r="D7" i="4"/>
  <c r="C7" i="4"/>
  <c r="B7" i="4"/>
  <c r="A7" i="4"/>
  <c r="D6" i="4"/>
  <c r="C6" i="4"/>
  <c r="B6" i="4"/>
  <c r="A6" i="4"/>
  <c r="D5" i="4"/>
  <c r="C5" i="4"/>
  <c r="B5" i="4"/>
  <c r="A5" i="4"/>
  <c r="H28" i="2"/>
  <c r="G28" i="2"/>
  <c r="F28" i="2"/>
  <c r="H27" i="2"/>
  <c r="G27" i="2"/>
  <c r="F27" i="2"/>
  <c r="H26" i="2"/>
  <c r="G26" i="2"/>
  <c r="F26" i="2"/>
  <c r="H25" i="2"/>
  <c r="G25" i="2"/>
  <c r="F25" i="2"/>
  <c r="H24" i="2"/>
  <c r="G24" i="2"/>
  <c r="F24" i="2"/>
  <c r="H23" i="2"/>
  <c r="G23" i="2"/>
  <c r="F23" i="2"/>
  <c r="H22" i="2"/>
  <c r="G22" i="2"/>
  <c r="F22" i="2"/>
  <c r="H21" i="2"/>
  <c r="G21" i="2"/>
  <c r="F21" i="2"/>
  <c r="H20" i="2"/>
  <c r="G20" i="2"/>
  <c r="F20" i="2"/>
  <c r="H19" i="2"/>
  <c r="G19" i="2"/>
  <c r="F19" i="2"/>
  <c r="H18" i="2"/>
  <c r="G18" i="2"/>
  <c r="F18" i="2"/>
  <c r="H17" i="2"/>
  <c r="G17" i="2"/>
  <c r="F17" i="2"/>
  <c r="H16" i="2"/>
  <c r="G16" i="2"/>
  <c r="F16" i="2"/>
  <c r="H15" i="2"/>
  <c r="G15" i="2"/>
  <c r="F15" i="2"/>
  <c r="H14" i="2"/>
  <c r="G14" i="2"/>
  <c r="F14" i="2"/>
  <c r="H13" i="2"/>
  <c r="G13" i="2"/>
  <c r="F13" i="2"/>
  <c r="H12" i="2"/>
  <c r="G12" i="2"/>
  <c r="F12" i="2"/>
  <c r="H11" i="2"/>
  <c r="G11" i="2"/>
  <c r="F11" i="2"/>
  <c r="H10" i="2"/>
  <c r="G10" i="2"/>
  <c r="F10" i="2"/>
  <c r="H9" i="2"/>
  <c r="G9" i="2"/>
  <c r="F9" i="2"/>
  <c r="H8" i="2"/>
  <c r="G8" i="2"/>
  <c r="F8" i="2"/>
  <c r="H7" i="2"/>
  <c r="G7" i="2"/>
  <c r="F7" i="2"/>
  <c r="H6" i="2"/>
  <c r="G6" i="2"/>
  <c r="F6" i="2"/>
  <c r="H5" i="2"/>
  <c r="G5" i="2"/>
  <c r="F5" i="2"/>
  <c r="G29" i="2" l="1"/>
  <c r="F29" i="2"/>
  <c r="F22" i="7"/>
  <c r="H29" i="2"/>
  <c r="Q134" i="4"/>
  <c r="B16" i="7"/>
  <c r="F19" i="7"/>
  <c r="F20" i="7"/>
  <c r="F24" i="7"/>
  <c r="F26" i="7"/>
  <c r="H135" i="4"/>
  <c r="Q135" i="4"/>
  <c r="F133" i="4"/>
  <c r="N133" i="4"/>
  <c r="V133" i="4"/>
  <c r="J134" i="4"/>
  <c r="J135" i="4" s="1"/>
  <c r="R134" i="4"/>
  <c r="R135" i="4" s="1"/>
  <c r="B15" i="7"/>
  <c r="G133" i="4"/>
  <c r="O133" i="4"/>
  <c r="W133" i="4"/>
  <c r="K134" i="4"/>
  <c r="K135" i="4" s="1"/>
  <c r="S134" i="4"/>
  <c r="S135" i="4" s="1"/>
  <c r="H133" i="4"/>
  <c r="P133" i="4"/>
  <c r="X133" i="4"/>
  <c r="L134" i="4"/>
  <c r="L135" i="4" s="1"/>
  <c r="T134" i="4"/>
  <c r="T135" i="4" s="1"/>
  <c r="I133" i="4"/>
  <c r="Q133" i="4"/>
  <c r="E134" i="4"/>
  <c r="E135" i="4" s="1"/>
  <c r="M134" i="4"/>
  <c r="M135" i="4" s="1"/>
  <c r="U134" i="4"/>
  <c r="U135" i="4" s="1"/>
  <c r="J133" i="4"/>
  <c r="R133" i="4"/>
  <c r="F134" i="4"/>
  <c r="F135" i="4" s="1"/>
  <c r="N134" i="4"/>
  <c r="N135" i="4" s="1"/>
  <c r="V134" i="4"/>
  <c r="V135" i="4" s="1"/>
  <c r="K133" i="4"/>
  <c r="S133" i="4"/>
  <c r="G134" i="4"/>
  <c r="G135" i="4" s="1"/>
  <c r="O134" i="4"/>
  <c r="O135" i="4" s="1"/>
  <c r="W134" i="4"/>
  <c r="W135" i="4" s="1"/>
  <c r="L133" i="4"/>
  <c r="T133" i="4"/>
  <c r="H134" i="4"/>
  <c r="P134" i="4"/>
  <c r="P135" i="4" s="1"/>
  <c r="X134" i="4"/>
  <c r="X135" i="4" s="1"/>
  <c r="E133" i="4"/>
  <c r="M133" i="4"/>
  <c r="U133" i="4"/>
  <c r="I134" i="4"/>
  <c r="I135" i="4" s="1"/>
</calcChain>
</file>

<file path=xl/sharedStrings.xml><?xml version="1.0" encoding="utf-8"?>
<sst xmlns="http://schemas.openxmlformats.org/spreadsheetml/2006/main" count="3299" uniqueCount="1459">
  <si>
    <t>iSpace.az — Test Planı</t>
  </si>
  <si>
    <t>1. ÜMUMİ MƏLUMAT</t>
  </si>
  <si>
    <t>Test obyekti</t>
  </si>
  <si>
    <t>iSpace.az — Apple Premium Partner e-commerce saytı (https://ispace.az). ASBIS platforması üzərində qurulub; AZ / EN / RU dillərində işləyir.</t>
  </si>
  <si>
    <t>Mühit</t>
  </si>
  <si>
    <t>Production (public). Ayrıca test mühiti yoxdur — bütün testlər canlı sistemə qarşı, etik qaydalara əməl edilməklə aparılır.</t>
  </si>
  <si>
    <t>Platforma / brauzer</t>
  </si>
  <si>
    <t>Desktop, Google Chrome (son stabil versiya). Ekran: 1920×1080.</t>
  </si>
  <si>
    <t>Məqsəd</t>
  </si>
  <si>
    <t>Saytın gəlir gətirən əsas axınını — Kataloq → Məhsul → Səbət — həm Web, həm API səviyyəsində yoxlamaq; manual və avtomat testləri əsaslandırılmış şəkildə ayırmaq; regression dəstini stabil avtomatlaşdırmaq.</t>
  </si>
  <si>
    <t>2. SCOPE — TEST EDİLƏNLƏR</t>
  </si>
  <si>
    <t>Axtarış</t>
  </si>
  <si>
    <t>Məhsul axtarışı: ad, model, məhsul kodu, qismən söz, Azərbaycan hərfləri və.s</t>
  </si>
  <si>
    <t>Kateqoriya / listing</t>
  </si>
  <si>
    <t>Filtrlər (stok, qiymət aralığı, seriya, ekran, yaddaş, kamera, SIM, rəng, əlavə xüsusiyyətlər) və onların kombinasiyası, filtr sayğacları, sıralama (Məşhur / Aşağı qiymət / Yüksək qiymət), pagination.</t>
  </si>
  <si>
    <t>Məhsul səhifəsi (PDP)</t>
  </si>
  <si>
    <t>Qiymət və aylıq ödəniş göstərişi, variant seçimi (yaddaş / rəng), məhsul kodu, stok vəziyyəti, ön sifariş, əlavə proqram seçimi, miqdar, çatdırılma növü seçimi (submit-siz). 'Bütün proqramlara baxın' — taksit pəncərəsi: müddətlər, tərəfdaşlar, aylıq və ümumi məbləğ.</t>
  </si>
  <si>
    <t>Səbət</t>
  </si>
  <si>
    <t>Məhsul əlavə etmə (listing və PDP), miqdar dəyişmə, silmə, cəm hesablanması, qoruma proqramı sətri, endirim göstərişi, mini-səbət, səbətdən taksit pəncərəsi, səhifə yenilənəndə və sessiyada vəziyyətin qorunması.</t>
  </si>
  <si>
    <t>Lokalizasiya və xidmət səhifələri</t>
  </si>
  <si>
    <t>AZ / EN / RU keçidi scope-dakı səhifələrdə; tərcümə olunmamış və ya səhv mətnlər. Trade In və 'Çatdırılma və ödəniş' məlumat səhifələrinin açılması və şərtlərin səhifə daxilində ardıcıllığı (müraciət göndərilmir).</t>
  </si>
  <si>
    <t>3. OUT OF SCOPE — VƏ SƏBƏBİ</t>
  </si>
  <si>
    <t>Checkout / sifariş / '1 kliklə al'</t>
  </si>
  <si>
    <t>Prodda real sifariş yaradır, operator müştəri ilə əlaqə saxlayır — geri qaytarıla bilməyən biznes əməliyyatı. Checkout-da yalnız göndərmədən yoxlanıla bilənlər test edildi: telefon və e-poçt validasiyası, çatdırılma haqqının xülasədə göstərilməsi, boş məcburi sahələr, mağazadan götürmə və rayon çatdırılma şərtləri. Sifariş heç vaxt göndərilmir; tapıntılar BUG-025, BUG-028, BUG-030.</t>
  </si>
  <si>
    <t>Ödəniş</t>
  </si>
  <si>
    <t>Real maliyyə əməliyyatı; test kartı imkanı yoxdur.</t>
  </si>
  <si>
    <t>Kredit və Trade-in müraciəti</t>
  </si>
  <si>
    <t>Real maliyyə/biznes müraciəti yaradır; bank və qiymətləndirmə prosesləri xarici sistemlərdir.</t>
  </si>
  <si>
    <t>Qeydiyyat / login</t>
  </si>
  <si>
    <t>Prodda hesab yaradılmır; login axını test edilmir.</t>
  </si>
  <si>
    <t>Əks əlaqə və abunə formu (submit)</t>
  </si>
  <si>
    <t>Real əməkdaşlara müraciət / spam yaradır. Yalnız client-side validasiya yoxlanıla bilər.</t>
  </si>
  <si>
    <t>Performance / load testing</t>
  </si>
  <si>
    <t>Prod sistemə yük vermək etik deyil və icazəsizdir.</t>
  </si>
  <si>
    <t>Security testing</t>
  </si>
  <si>
    <t>Injection, brute force kimi hücumlar prodda icazəsizdir. Yalnız passiv müşahidələr qeyd olunur.</t>
  </si>
  <si>
    <t>Cross-browser, mobil, responsive, əlçatanlıq</t>
  </si>
  <si>
    <t>Risk əsaslı olaraq desktop Chrome seçilib. Əlçatanlıq (klaviatura ilə naviqasiya, fokus, şəkillərin alt mətni) ayrıca alət və metodika (WCAG) tələb edir — növbəti mərhələyə saxlanılır.</t>
  </si>
  <si>
    <t>Mağaza xəritəsi, sosial şəbəkə linkləri</t>
  </si>
  <si>
    <t>Üçüncü tərəf servislərdir; yalnız linkin düzgün ünvana aparması yoxlanıla bilər.</t>
  </si>
  <si>
    <t>4. RİSKLƏR VƏ AZALDILMASI</t>
  </si>
  <si>
    <t>R1 — Bot qoruması (Cloudflare)</t>
  </si>
  <si>
    <t>Avtomat sorğular bloklana bilər → testlər flaky olar. Azaldılma: 1-ci gün 30 ardıcıl sorğu + headless/headed Chrome sınağı; problem olarsa müəllimə dərhal məlumat.</t>
  </si>
  <si>
    <t>R2 — Dinamik katalog</t>
  </si>
  <si>
    <t>Qiymət, stok, məhsul adları gündəlik dəyişir. Azaldılma: test datası koda yazılmır, icra zamanı API-dən götürülür; assertion-lar konkret dəyərə yox, uyğunluq qaydalarına (oracle) əsaslanır.</t>
  </si>
  <si>
    <t>R3 — Tələb sənədinin olmaması</t>
  </si>
  <si>
    <t>Rəsmi spesifikasiya yoxdur. Azaldılma: tələblər müşahidəyə əsaslanan biznes qaydaları (BR-01…) kimi yazılıb və RTM-də izlənir; təsdiqlənməmiş fərziyyələr avtomat assertion-a çevrilmir.</t>
  </si>
  <si>
    <t>R4 — Prodda yan təsir</t>
  </si>
  <si>
    <t>Testlər real data yarada bilər. Azaldılma: yalnız geri qaytarıla bilən əməliyyatlar (axtarış, filtr, səbət); səbət test sonunda təmizlənir.</t>
  </si>
  <si>
    <t>R5 — Asinxron UI</t>
  </si>
  <si>
    <t>Loader ('Mağazanın yüklənməsi'), lazy-load, banner karuseli. Azaldılma: yalnız explicit wait, Thread.sleep qadağandır.</t>
  </si>
  <si>
    <t>R6 — Paylaşılan vəziyyət</t>
  </si>
  <si>
    <t>Başqa istifadəçilərin hərəkəti stoku dəyişə bilər. Azaldılma: qlobal say və sıraya ('ilk məhsul X-dir') assertion yazılmır.</t>
  </si>
  <si>
    <t>R7 — robots.txt məhdudiyyəti</t>
  </si>
  <si>
    <t>robots.txt /cart, /search, /checkout, /login və parametrli URL-ləri botlar üçün qadağan edir. Azaldılma: avtomat testlərin həcmi minimal, hər test tək brauzer sessiyası ilə; real sifariş/müraciət göndərilmir.</t>
  </si>
  <si>
    <t>5. TEST SƏVİYYƏLƏRİ VƏ NÖVLƏRİ</t>
  </si>
  <si>
    <t>Səviyyələr</t>
  </si>
  <si>
    <t>API (backend məntiqi, validasiya, kontrakt) → UI / E2E (istifadəçi axınları). Test piramidası: kombinasiya və validasiyaların çoxu API-də, UI-da yalnız kritik axınlar və UI-a məxsus davranış.</t>
  </si>
  <si>
    <t>Növlər</t>
  </si>
  <si>
    <t>Functional (pozitiv / neqativ), Smoke, Regression, Localization, Exploratory (session-based), UI–API uyğunluğu.</t>
  </si>
  <si>
    <t>Test dizayn texnikaları</t>
  </si>
  <si>
    <t>Equivalence Partitioning, Boundary Value Analysis, Decision Table (filtr kombinasiyaları), State Transition (səbət vəziyyətləri), Error Guessing, Consistency Oracle (listing = PDP = səbət).</t>
  </si>
  <si>
    <t>6. PRİORİTET VƏ SEVERİTY ŞKALASI</t>
  </si>
  <si>
    <t>Test case prioriteti</t>
  </si>
  <si>
    <t>Risk = biznes təsiri × baş vermə ehtimalı. Critical: gəlir axınını bloklayır (səbətə əlavə, qiymət). High: əsas funksiya səhv işləyir (filtr, sıralama, axtarış). Medium: köməkçi funksiya. Low: kosmetik.</t>
  </si>
  <si>
    <t>Bug severity</t>
  </si>
  <si>
    <t>Critical (Blocker) / High (Major) / Medium (Moderate) / Low — kurs materialındakı şkala.</t>
  </si>
  <si>
    <t>Bug priority</t>
  </si>
  <si>
    <t>P1 — dərhal · P2 — yüksək · P3 — orta · P4 — aşağı.</t>
  </si>
  <si>
    <t>7. AVTOMATLAŞDIRMA YANAŞMASI</t>
  </si>
  <si>
    <t>Seçim meyarları</t>
  </si>
  <si>
    <t>'Decision Matrix' sheet-inə əsasən: təkrarlanma tezliyi, risk, determinizm, kənar asılılıq, yoxlamanın təbiəti (kodlar A1–A3, M1–M5).</t>
  </si>
  <si>
    <t>Ardıcıllıq</t>
  </si>
  <si>
    <t>Əvvəl API testləri (sürətli, stabil, UI üçün data mənbəyi), sonra UI testləri.</t>
  </si>
  <si>
    <t>Assertion qaydası</t>
  </si>
  <si>
    <t>API: status + struktur/schema + biznes dəyərləri (+ mümkün olduqda cross-check). UI: ekranda real nəticə (mətn, dəyər, element vəziyyəti).</t>
  </si>
  <si>
    <t>Stabillik meyarı</t>
  </si>
  <si>
    <t>Suite ard-arda 10 dəfə yaşıl; testlər istənilən sırada və tək-tək keçir; retry ilə flaky gizlədilmir.</t>
  </si>
  <si>
    <t>Alətlər / arxitektura</t>
  </si>
  <si>
    <t>Müəllimin verdiyi Gauge Test Automation arxitekturası (Gauge + Selenium WebDriver + RestAssured, Maven, `mvn test`) — dəyişdirilmədən istifadə olunur.</t>
  </si>
  <si>
    <t>8. ETİKA QAYDALARI (PROD)</t>
  </si>
  <si>
    <t>Qaydalar</t>
  </si>
  <si>
    <t>Yük testi yoxdur; hücum xarakterli sorğu yoxdur; real sifariş, müraciət, abunə yaradılmır; şəxsi məlumat istifadə olunmur; sorğular arasında makul interval saxlanılır.</t>
  </si>
  <si>
    <t>9. GİRİŞ / ÇIXIŞ MEYARLARI</t>
  </si>
  <si>
    <t>Giriş meyarı</t>
  </si>
  <si>
    <t>Sayt əlçatandır; API siyahısı və arxitektura əldədir; scope təsdiqlənib.</t>
  </si>
  <si>
    <t>Çıxış meyarı</t>
  </si>
  <si>
    <t>Bütün Critical/High case-lər icra olunub; regression dəsti (40 case) seçilib: 38-i (95%) Gauge ilə avtomatlaşdırılıb və stabil keçir (35 Pass + 3 bilinən bug: BUG-016, BUG-017, BUG-032), 2-si prod riski səbəbindən manual regression-dur; ümumi 126 case-dən 51-i (40%) avtomatdır; tapılan bug-lar sənədləşdirilib; README hazırdır.</t>
  </si>
  <si>
    <t>10. NƏTİCƏ SƏNƏDLƏRİ</t>
  </si>
  <si>
    <t>Deliverables</t>
  </si>
  <si>
    <t>Bu Excel faylı (Test Plan, Test Scenarios, Web Test Cases, RTM, Decision Matrix, Bug Reports, Test Summary Report) + avtomatlaşdırma layihəsi (GitHub repo, LAYIHE.md).</t>
  </si>
  <si>
    <t>11. RESURSLAR</t>
  </si>
  <si>
    <t>Komanda</t>
  </si>
  <si>
    <t>QA mühəndisi (tələbə) — manual test dizaynı, icra, bug report, avtomatlaşdırma</t>
  </si>
  <si>
    <t>Alətlər</t>
  </si>
  <si>
    <t>Excel (test sənədləri), Google Chrome (inkognito), iSpace Test İcrası tracker-i,  IntelliJ IDEA + Gauge + Selenium + RestAssured + Maven (avtomatlaşdırma), Git / GitHub</t>
  </si>
  <si>
    <t>Test mühiti</t>
  </si>
  <si>
    <t>Production — https://ispace.az (public); API — müəllimin bank sandbox-u (https://api.anarabbas.com)</t>
  </si>
  <si>
    <t>12. TƏSDİQ (APPROVAL)</t>
  </si>
  <si>
    <t>Hazırladı</t>
  </si>
  <si>
    <t>Məleykə Əlili</t>
  </si>
  <si>
    <t>Test Ssenariləri — iSpace.az</t>
  </si>
  <si>
    <t>Ssenari ID</t>
  </si>
  <si>
    <t>Modul</t>
  </si>
  <si>
    <t>Test ssenarisi</t>
  </si>
  <si>
    <t>Prioritet</t>
  </si>
  <si>
    <t>Əlaqəli tələb</t>
  </si>
  <si>
    <t>Test case sayı</t>
  </si>
  <si>
    <t>Avtomat</t>
  </si>
  <si>
    <t>Regression</t>
  </si>
  <si>
    <t>SC-001</t>
  </si>
  <si>
    <t>Kateqoriya (PLP)</t>
  </si>
  <si>
    <t>İstifadəçi iPhone kateqoriyasını açdıqda məhsul kartları ad, qiymət, aylıq ödəniş və stok vəziyyətinə uyğun düymə ilə göstərilməli, kartdakı qiymət məhsul səhifəsindəki ilə eyni olmalıdır.</t>
  </si>
  <si>
    <t>P1 — Critical</t>
  </si>
  <si>
    <t>UJ-01 · BR-01, BR-11</t>
  </si>
  <si>
    <t>SC-002</t>
  </si>
  <si>
    <t>İstifadəçi stok, yaddaş və rəng filtrlərini tək-tək və birlikdə tətbiq etdikdə yalnız seçimə uyğun məhsullar göstərilməli, filtr sayğacları nəticə sayına bərabər olmalıdır.</t>
  </si>
  <si>
    <t>P2 — High</t>
  </si>
  <si>
    <t>UJ-03 · BR-02, BR-12</t>
  </si>
  <si>
    <t>SC-003</t>
  </si>
  <si>
    <t>İstifadəçi qiymət aralığı daxil etdikdə yalnız bu aralıqdakı (sərhədlər daxil) məhsullar göstərilməli, keçərsiz dəyər daxil etdikdə sistem onu rədd etməlidir.</t>
  </si>
  <si>
    <t>UJ-03 · BR-04</t>
  </si>
  <si>
    <t>SC-004</t>
  </si>
  <si>
    <t>İstifadəçi qiymətə görə sıralama seçdikdə və səhifələr arasında keçdikdə məhsullar bütün səhifələr boyu artan və ya azalan sırada, hər biri yalnız bir dəfə göstərilməlidir.</t>
  </si>
  <si>
    <t>UJ-03 · BR-03, BR-05, BR-14</t>
  </si>
  <si>
    <t>SC-005</t>
  </si>
  <si>
    <t>İstifadəçi alt-kateqoriya çipini və ya Seriya filtrini seçdikdə yalnız həmin seriyanın məhsulları göstərilməli, sayğaclar ümumi məhsul sayı ilə uyğun olmalıdır.</t>
  </si>
  <si>
    <t>UJ-03 · BR-12, BR-18</t>
  </si>
  <si>
    <t>SC-006</t>
  </si>
  <si>
    <t>İstifadəçi texniki xüsusiyyət filtrlərini (ekran, kamera, video, SIM, məhsul tipi) seçdikdə nəticələr məhsulun PDP-dəki texniki göstəriciləri ilə uyğun olmalıdır.</t>
  </si>
  <si>
    <t>P3 — Medium</t>
  </si>
  <si>
    <t>UJ-03 · BR-18</t>
  </si>
  <si>
    <t>SC-007</t>
  </si>
  <si>
    <t>İstifadəçi Rəng və 'Əlavə xüsusiyyətlər' filtrlərini seçdikdə uyğun məhsulların hamısı tapılmalı, filtr dəyərləri azərbaycanca göstərilməlidir.</t>
  </si>
  <si>
    <t>SC-008</t>
  </si>
  <si>
    <t>İstifadəçi filtr seçib 'Tətbiq et' basdıqda nəticə və digər qrupların sayğacları yenilənməli, aktiv filtrlər görünməli və tək-tək silinə bilməlidir.</t>
  </si>
  <si>
    <t>SC-009</t>
  </si>
  <si>
    <t>İstifadəçi filtrləri sıralama, səhifələmə, dil dəyişmə və brauzerin 'Geri' düyməsi ilə birlikdə istifadə etdikdə filtr vəziyyəti qorunmalı və nəticə dəqiq olmalıdır.</t>
  </si>
  <si>
    <t>SC-010</t>
  </si>
  <si>
    <t>İstifadəçi məhsul səhifəsini açdıqda ad, məhsul kodu, qiymət, aylıq ödəniş, şəkillər və texniki göstəricilər listing ilə uyğun göstərilməlidir.</t>
  </si>
  <si>
    <t>UJ-01 · BR-01, BR-08</t>
  </si>
  <si>
    <t>SC-011</t>
  </si>
  <si>
    <t>İstifadəçi məhsul səhifəsində variant, miqdar, qoruma proqramı və çatdırılma seçdikdə məhsul məlumatı və məbləğ seçimə uyğun yenilənməlidir.</t>
  </si>
  <si>
    <t>UJ-01 · BR-06, BR-15</t>
  </si>
  <si>
    <t>SC-012</t>
  </si>
  <si>
    <t>İstifadəçi stokda olmayan və ya mövcud olmayan məhsulu açdıqda məhsul alına bilməməli və aydın vəziyyət mesajı göstərilməlidir.</t>
  </si>
  <si>
    <t>UJ-01 · BR-11</t>
  </si>
  <si>
    <t>SC-013</t>
  </si>
  <si>
    <t>Taksit proqramları</t>
  </si>
  <si>
    <t>İstifadəçi 'Bütün proqramlara baxın' açdıqda hər müddət və tərəfdaş üçün aylıq məbləğ, ödəniş sayı və ümumi məbləğ bir-biri ilə və məhsulun qiyməti ilə uyğun olmalıdır.</t>
  </si>
  <si>
    <t>UJ-07 · BR-08, BR-17</t>
  </si>
  <si>
    <t>SC-014</t>
  </si>
  <si>
    <t>İstifadəçi taksit pəncərəsində müddət, tərəfdaş, variant, miqdar və ya qoruma proqramını dəyişdikdə məbləğlər yenilənməli, seçimlər səbətə eynilə ötürülməlidir.</t>
  </si>
  <si>
    <t>UJ-07 · BR-17</t>
  </si>
  <si>
    <t>SC-015</t>
  </si>
  <si>
    <t>İstifadəçi məhsulu məhsul səhifəsindən və ya listing-dən səbətə əlavə etdikdə məhsul düzgün qiymət və miqdarla səbətdə görünməlidir.</t>
  </si>
  <si>
    <t>UJ-01, UJ-04 · BR-07</t>
  </si>
  <si>
    <t>SC-016</t>
  </si>
  <si>
    <t>İstifadəçi səbətdə miqdarı dəyişdikdə və ya məhsulu sildikdə sətir cəmi və ümumi cəm dərhal yenilənməlidir.</t>
  </si>
  <si>
    <t>UJ-01 · BR-07</t>
  </si>
  <si>
    <t>SC-017</t>
  </si>
  <si>
    <t>İstifadəçi səhifəni yenilədikdə, dili dəyişdikdə və ya checkout-a keçdikdə səbətin məzmunu və cəmi qorunmalıdır.</t>
  </si>
  <si>
    <t>UJ-01, UJ-05 · BR-07, BR-10</t>
  </si>
  <si>
    <t>SC-018</t>
  </si>
  <si>
    <t>İstifadəçi səbəti iki tabda, sürətli kliklərlə və ya stok həddində dəyişdikdə səbətin vəziyyəti ardıcıl qalmalı, miqdar stoku keçməməlidir.</t>
  </si>
  <si>
    <t>UJ-01 · BR-07, BR-15</t>
  </si>
  <si>
    <t>SC-019</t>
  </si>
  <si>
    <t>İstifadəçi endirimli və ya qoruma proqramlı məhsulu səbətdə saxladıqda qiymətlər, endirimlər və taksit məlumatı eyni bazaya əsaslanmalı və şərtləri göstərilməlidir.</t>
  </si>
  <si>
    <t>UJ-01 · BR-07, BR-19</t>
  </si>
  <si>
    <t>SC-020</t>
  </si>
  <si>
    <t>İstifadəçi səbəti brauzer sessiyaları arasında, mini-səbətdə və ön sifariş məhsulu ilə istifadə etdikdə sayğac, məbləğ və xəbərdarlıqlar düzgün göstərilməlidir.</t>
  </si>
  <si>
    <t>UJ-01, UJ-04 · BR-07, BR-11</t>
  </si>
  <si>
    <t>SC-021</t>
  </si>
  <si>
    <t>Checkout</t>
  </si>
  <si>
    <t>İstifadəçi checkout-da çatdırılma üsulu seçdikdə və əlaqə məlumatlarını daxil etdikdə çatdırılma haqqı xülasədə düzgün göstərilməli, səhv telefon və ya e-poçt üçün sahənin altında aydın xəta mesajı çıxmalıdır (sifariş göndərilmədən).</t>
  </si>
  <si>
    <t>UJ-01 · BR-13, BR-20</t>
  </si>
  <si>
    <t>SC-022</t>
  </si>
  <si>
    <t>İstifadəçi model adı, məhsul kodu və ya qismən sözlə axtarış etdikdə uyğun nəticələr göstərilməli, nəticəsiz və ya keçərsiz sorğuda aydın mesaj görünməlidir.</t>
  </si>
  <si>
    <t>UJ-02 · BR-16</t>
  </si>
  <si>
    <t>SC-023</t>
  </si>
  <si>
    <t>Lokalizasiya</t>
  </si>
  <si>
    <t>İstifadəçi dili dəyişdikdə eyni səhifənin həmin dildəki versiyası açılmalı, mətnlər tərcümə və orfoqrafiya səhvi olmadan göstərilməlidir.</t>
  </si>
  <si>
    <t>UJ-05 · BR-10</t>
  </si>
  <si>
    <t>SC-024</t>
  </si>
  <si>
    <t>Xidmət səhifələri</t>
  </si>
  <si>
    <t>İstifadəçi Trade In və 'Çatdırılma və ödəniş' məlumat səhifələrini açdıqda səhifə açılmalı, şərtlər tam və seçilmiş dildə göstərilməli, eyni şərt (müddət, qiymət) səhifənin bütün hissələrində (mətn, cədvəl, FAQ) eyni yazılmalıdır.</t>
  </si>
  <si>
    <t>UJ-01, UJ-05 · BR-10, BR-13</t>
  </si>
  <si>
    <t>Cəmi</t>
  </si>
  <si>
    <t>Test Case-lər — iSpace.az (Web)</t>
  </si>
  <si>
    <t>Test Case ID</t>
  </si>
  <si>
    <t>Başlıq (Title)</t>
  </si>
  <si>
    <t>Test növü</t>
  </si>
  <si>
    <t>Ön şərtlər</t>
  </si>
  <si>
    <t>Test addımları</t>
  </si>
  <si>
    <t>Test datası</t>
  </si>
  <si>
    <t>Gözlənilən nəticə</t>
  </si>
  <si>
    <t>Faktiki nəticə</t>
  </si>
  <si>
    <t>Status</t>
  </si>
  <si>
    <t>Avtomat / Manual</t>
  </si>
  <si>
    <t>Səbəb (Decision Matrix)</t>
  </si>
  <si>
    <t>Smoke</t>
  </si>
  <si>
    <t>Bug ID</t>
  </si>
  <si>
    <t>Əlaqəli tələb (BR)</t>
  </si>
  <si>
    <t>Avtomatlaşdırma statusu (Gauge)</t>
  </si>
  <si>
    <t>Avtomatlaşdırma qeydi</t>
  </si>
  <si>
    <t>TC_PLP_POS_001</t>
  </si>
  <si>
    <t>iPhone kateqoriyası açıldıqda başlıq, breadcrumb, məhsul sayı və məhsul kartları göstərilir</t>
  </si>
  <si>
    <t>Pozitiv · Funksional</t>
  </si>
  <si>
    <t>Ümumi ön şərt (P0): Chrome son versiya, inkognito pəncərə, 1920×1080, AZ dili, login olmadan</t>
  </si>
  <si>
    <t>1. Brauzerdə https://ispace.az/category/iphone ünvanını aç
2. 'Mağazanın yüklənməsi' yazısı yox olana qədər gözlə
3. Səhifə başlığını oxu
4. Başlığın üstündəki breadcrumb-u oxu
5. Səhifənin yuxarısındakı 'N Məhsul' mətnindən nəticə sayını qeyd et
6. Səhifədə məhsul kartlarının göstərildiyinə bax</t>
  </si>
  <si>
    <t>URL: /category/iphone</t>
  </si>
  <si>
    <t>1. Səhifə başlığı 'iPhone'.
2. Breadcrumb: 'Ana səhifə &gt; iPhone'.
3. 'N Məhsul' mətni göstərilir, N &gt; 0.
4. Ən azı 1 məhsul kartı var.</t>
  </si>
  <si>
    <t>Səhifə yükləndi; başlıq, breadcrumb, məhsul sayı və kartlar göstərildi. Bütün yoxlama nöqtələri gözlənilən nəticəyə uyğundur.</t>
  </si>
  <si>
    <t>Pass</t>
  </si>
  <si>
    <t>A1 — əsas axının giriş nöqtəsi, hər release-də</t>
  </si>
  <si>
    <t>Bəli</t>
  </si>
  <si>
    <t>BR-01, BR-11</t>
  </si>
  <si>
    <t>Avtomatlaşdırılıb — PASS, 16.10.2026</t>
  </si>
  <si>
    <t>—</t>
  </si>
  <si>
    <t>TC_PLP_POS_002</t>
  </si>
  <si>
    <t>Hər məhsul kartında ad, qiymət, aylıq ödəniş və düymə göstərilir</t>
  </si>
  <si>
    <t>1. https://ispace.az/category/iphone ünvanını aç
2. 1-ci səhifədəki hər məhsul kartında şəkli, adı və qiyməti yoxla
3. Stokda olan kartlarda aylıq ödəniş mətnini ('Ayda X ₼-dan') yoxla
4. Hər kartın altındakı düymənin mətnini qeyd et</t>
  </si>
  <si>
    <t>1-ci səhifənin bütün kartları</t>
  </si>
  <si>
    <t>Hər kartda: şəkil; boş olmayan ad; 'X XXX ₼' formatında qiymət (X &gt; 0); stokda olan məhsullarda aylıq ödəniş mətni; vəziyyətə uyğun düymə: 'Səbətə', 'Ön sifariş', 'Tezliklə satışda' və ya 'Mənə xəbər ver' (BR-11).</t>
  </si>
  <si>
    <t>Bütün kartlarda şəkil, ad, '₼' formatında qiymət və düymə var; boş sahə yoxdur. Kartlarda 4 fərqli düymə vəziyyəti müşahidə olundu: 'Səbətə', 'Ön sifariş', 'Tezliklə satışda', 'Mənə xəbər ver' (BR-11 yeniləndi).</t>
  </si>
  <si>
    <t>A2 — struktur yoxlaması, kart sayı çox (A3)</t>
  </si>
  <si>
    <t>Xeyr</t>
  </si>
  <si>
    <t>Kart sayı = şəkil = ad = qiymət = düymə sayı (düymə növündən asılı olmayaraq); bütün qiymətlərdə '₼', boş ad yoxdur</t>
  </si>
  <si>
    <t>TC_PLP_POS_003</t>
  </si>
  <si>
    <t>Kartdakı qiymət məhsul səhifəsindəki qiymətlə eynidir</t>
  </si>
  <si>
    <t>1. https://ispace.az/category/iphone ünvanını aç
2. 'Səbətə' düyməsi olan ilk kartın adını və qiymətini qeyd et
3. Həmin kartın şəklinə klik et — məhsul səhifəsi açılır
4. Məhsul səhifəsindəki adı və qiyməti qeyd etdiyin dəyərlərlə müqayisə et</t>
  </si>
  <si>
    <t>Stokda olan istənilən məhsul (icra zamanı seçilir)</t>
  </si>
  <si>
    <t>PDP-dəki ad və qiymət kartdakı ilə hərfbəhərf eynidir.</t>
  </si>
  <si>
    <t>Kartdakı ad və qiymət PDP-dəki ilə hərfbəhərf eynidir.</t>
  </si>
  <si>
    <t>A1, A2 — qiymət səhvi birbaşa pul itkisidir; dəyişkən qiymətdə belə sınmır</t>
  </si>
  <si>
    <t>BR-01</t>
  </si>
  <si>
    <t>İlk kart icra zamanı seçilir, ad və qiymət dəyişənə saxlanır</t>
  </si>
  <si>
    <t>TC_PLP_POS_004</t>
  </si>
  <si>
    <t>Stokda olan məhsulun kartında 'Səbətə', olmayanda 'Ön sifariş' / 'Mənə xəbər ver' düyməsi göstərilir</t>
  </si>
  <si>
    <t>1. https://ispace.az/category/iphone ünvanını aç
2. Filtr panelinin 'Stokda var' qrupunda 'Mövcuddur' seç
3. Filtr panelinin altındakı 'Tətbiq et' düyməsini bas
4. 1-ci səhifədəki bütün kartların düyməsini qeyd et
5. 'Mövcuddur' seçimini götür, 'Mövcud deyil' seç
6. Filtr panelinin altındakı 'Tətbiq et' düyməsini bas
7. 1-ci səhifədəki bütün kartların düyməsini qeyd et</t>
  </si>
  <si>
    <t>Stok filtri: Mövcuddur / Mövcud deyil</t>
  </si>
  <si>
    <t>Stokda olan bütün kartlarda 'Səbətə'; stokda olmayan kartlarda 'Mənə xəbər ver' və ya 'Ön sifariş'. Stokda olmayan kartda 'Səbətə' düyməsi yoxdur.</t>
  </si>
  <si>
    <t>Stokda olan kartlarda 'Səbətə', stokda olmayanlarda 'Mənə xəbər ver' və ya 'Ön sifariş' göstərilir; stokda olmayan kartda 'Səbətə' yoxdur.</t>
  </si>
  <si>
    <t>A2 — stokda olmayan məhsulun satışı biznes riskidir</t>
  </si>
  <si>
    <t>BR-11</t>
  </si>
  <si>
    <t>'Mövcuddur' filtrində ad sayı = 'Səbətə' sayı; 'Mövcud deyil' filtrində 'Səbətə' sayı = 0</t>
  </si>
  <si>
    <t>TC_PLP_POS_005</t>
  </si>
  <si>
    <t>'Mövcuddur' filtri: nəticə sayı sayğaca bərabərdir</t>
  </si>
  <si>
    <t>1. https://ispace.az/category/iphone ünvanını aç
2. Filtr panelinin 'Stokda var' qrupunda 'Mövcuddur (N)' sayğacındakı N-i qeyd et
3. 'Mövcuddur' seç
4. Filtr panelinin altındakı 'Tətbiq et' düyməsini bas
5. Səhifənin yuxarısındakı 'N Məhsul' mətnindən nəticə sayını qeyd et
6. Kartların hamısında 'Səbətə' düyməsi olduğunu yoxla</t>
  </si>
  <si>
    <t>N — icra zamanı oxunur (04.10-da 41)</t>
  </si>
  <si>
    <t>1. 'N Məhsul' mətni sayğacdakı N ilə eynidir.
2. Bütün kartlar stokdadır ('Səbətə' düyməsi).</t>
  </si>
  <si>
    <t>'Mövcuddur' filtrindən sonra nəticə sayı sayğacdakı rəqəmə bərabərdir; bütün kartlar stokdadır.</t>
  </si>
  <si>
    <t>A2 — say qaydaya əsaslanır, konkret rəqəm koda yazılmır</t>
  </si>
  <si>
    <t>BR-02</t>
  </si>
  <si>
    <t>Sayğac ('Movcuddur (N)') icra zamanı oxunur; Java: 'N Məhsul' = N</t>
  </si>
  <si>
    <t>TC_PLP_POS_006</t>
  </si>
  <si>
    <t>Bir filtr qrupunda sayğacların cəmi ümumi məhsul sayına bərabərdir</t>
  </si>
  <si>
    <t>1. https://ispace.az/category/iphone ünvanını aç
2. Səhifənin yuxarısındakı 'N Məhsul' mətnindən nəticə sayını qeyd et — ümumi N
3. Filtr panelinin 'Stokda var' qrupundakı bütün sayğacları topla
4. 'Yaddaş' qrupundakı bütün sayğacları topla ('+ Daha çox göstər' varsa bas)
5. 'SIM kart növü' qrupundakı bütün sayğacları topla
6. Hər qrupun cəmini ümumi N ilə müqayisə et</t>
  </si>
  <si>
    <t>04.10 müşahidəsi: 41+172 = 213; 66+66+36+32+13 = 213; 187+26 = 213</t>
  </si>
  <si>
    <t>Hər bir-birini istisna edən qrupda sayğacların cəmi = N.</t>
  </si>
  <si>
    <t>Stok, yaddaş və SIM qruplarında sayğacların cəmi ümumi məhsul sayına bərabərdir (BR-12 təsdiqləndi).</t>
  </si>
  <si>
    <t>A2, A3 — ucuz, sayma bug-larını tutur</t>
  </si>
  <si>
    <t>BR-12</t>
  </si>
  <si>
    <t>Stok və SIM qruplarında sayğacların cəmi = 'N Məhsul'</t>
  </si>
  <si>
    <t>TC_PLP_POS_007</t>
  </si>
  <si>
    <t>Yaddaş filtri yalnız seçilmiş yaddaşlı məhsulları göstərir</t>
  </si>
  <si>
    <t>1. https://ispace.az/category/iphone ünvanını aç
2. Filtr panelinin 'Yaddaş' qrupunda '256 GB (N)' sayğacındakı N-i qeyd et
3. '256 GB' seç
4. Filtr panelinin altındakı 'Tətbiq et' düyməsini bas
5. Səhifənin yuxarısındakı 'N Məhsul' mətnindən nəticə sayını qeyd et
6. 1-ci səhifədəki bütün kartların adında '256 GB' olduğunu yoxla</t>
  </si>
  <si>
    <t>Yaddaş = 256 GB</t>
  </si>
  <si>
    <t>1. Bütün kartların adında '256 GB' var.
2. Nəticə sayı = N.</t>
  </si>
  <si>
    <t>'256 GB' filtri: bütün kartların adında '256 GB' var; nəticə sayı 66 = sayğac (66).</t>
  </si>
  <si>
    <t>A1, A2</t>
  </si>
  <si>
    <t>PLP_POS_009-un sadə variantı: yalnız 256 GB filtri; bütün adlarda '256 GB'</t>
  </si>
  <si>
    <t>TC_PLP_POS_008</t>
  </si>
  <si>
    <t>Rəng filtri yalnız seçilmiş rəngli məhsulları göstərir</t>
  </si>
  <si>
    <t>1. https://ispace.az/category/iphone ünvanını aç
2. Filtr panelinin 'Rəng' qrupunda 'Qara (N)' sayğacındakı N-i qeyd et
3. 'Qara' seç
4. Filtr panelinin altındakı 'Tətbiq et' düyməsini bas
5. Səhifənin yuxarısındakı 'N Məhsul' mətnindən nəticə sayını qeyd et
6. 1-ci səhifədəki kartların adında və şəklində rəngi yoxla</t>
  </si>
  <si>
    <t>Rəng = Qara</t>
  </si>
  <si>
    <t>Bütün nəticələr qara rəngli modellərdir (Black, Black Titanium, Space Black və s. daxil). Say = sayğac.</t>
  </si>
  <si>
    <t>'Qara' filtrinin nəticələri qara rəngli modellərdir; say sayğaca bərabərdir.</t>
  </si>
  <si>
    <t>Manual</t>
  </si>
  <si>
    <t>M1 — kart adlarında rəng adları qarışıqdır (Qara / Black / Black Titanium), avtomat oracle etibarsızdır</t>
  </si>
  <si>
    <t>TC_PLP_POS_009</t>
  </si>
  <si>
    <t>'256 GB' və 'Mövcuddur' birlikdə seçildikdə yalnız hər iki şərtə uyğun məhsullar göstərilir (VƏ məntiqi)</t>
  </si>
  <si>
    <t>1. https://ispace.az/category/iphone ünvanını aç
2. 'Yaddaş' qrupunda '256 GB' seç
3. 'Stokda var' qrupunda 'Mövcuddur' seç
4. Filtr panelinin altındakı 'Tətbiq et' düyməsini bas
5. Səhifənin yuxarısındakı 'N Məhsul' mətnindən nəticə sayını qeyd et
6. Hər kartın adında '256 GB' və altında 'Səbətə' düyməsi olduğunu yoxla</t>
  </si>
  <si>
    <t>Yaddaş = 256 GB + Stok = Mövcuddur</t>
  </si>
  <si>
    <t>Bütün nəticələr həm 256 GB-dır, həm də stokdadır ('Səbətə'). Nəticə sayı hər iki tək filtrin sayından ≤-dir.</t>
  </si>
  <si>
    <t>256 GB + Mövcuddur: nəticələr hər iki şərtə uyğundur ('VƏ' məntiqi).</t>
  </si>
  <si>
    <t>A2, A3 — kombinasiya məntiqi</t>
  </si>
  <si>
    <t>BR-02, BR-12</t>
  </si>
  <si>
    <t>Desktop (1920×1080) görünüşdə filtr seçiləndə dərhal tətbiq olunur — 'Tətbiq et' yalnız mobil görünüşdədir; hər kartda 'Səbətə' olduğu say ilə yoxlanır</t>
  </si>
  <si>
    <t>TC_PLP_POS_010</t>
  </si>
  <si>
    <t>'256 GB' və '512 GB' birlikdə seçildikdə nəticə sayı iki sayğacın cəminə bərabərdir (VƏ YA məntiqi)</t>
  </si>
  <si>
    <t>1. https://ispace.az/category/iphone ünvanını aç
2. 'Yaddaş' qrupunda '256 GB (N1)' və '512 GB (N2)' sayğaclarını qeyd et
3. '256 GB' seç
4. '512 GB' seç
5. Filtr panelinin altındakı 'Tətbiq et' düyməsini bas
6. Səhifənin yuxarısındakı 'N Məhsul' mətnindən nəticə sayını qeyd et
7. Nəticə sayını N1 + N2 ilə müqayisə et</t>
  </si>
  <si>
    <t>Yaddaş = 256 GB + 512 GB</t>
  </si>
  <si>
    <t>Bütün nəticələr 256 GB və ya 512 GB-dır. Nəticə sayı = N1 + N2.</t>
  </si>
  <si>
    <t>256 GB + 512 GB: nəticələr hər iki dəyərdən birinə uyğundur, say = N1 + N2 ('VƏ YA' məntiqi).</t>
  </si>
  <si>
    <t>A2, A3</t>
  </si>
  <si>
    <t>256 GB + 512 GB: 'N Məhsul' = iki sayğacın cəmi</t>
  </si>
  <si>
    <t>TC_PLP_POS_011</t>
  </si>
  <si>
    <t>Filtrlər təmizlənəndə ilkin siyahı bərpa olunur</t>
  </si>
  <si>
    <t>1. https://ispace.az/category/iphone ünvanını aç
2. Səhifənin yuxarısındakı 'N Məhsul' mətnindən nəticə sayını qeyd et — ümumi N
3. 'Yaddaş' qrupunda '256 GB' seç
4. 'Stokda var' qrupunda 'Mövcuddur' seç
5. Filtr panelinin altındakı 'Tətbiq et' düyməsini bas
6. Seçilmiş hər iki filtrin işarəsini götür
7. Filtr panelinin altındakı 'Tətbiq et' düyməsini bas
8. Səhifənin yuxarısındakı 'N Məhsul' mətnindən nəticə sayını qeyd et
9. Nəticə sayını N ilə müqayisə et</t>
  </si>
  <si>
    <t>Məhsul sayı yenidən N-dir, filtr seçimləri boşdur.</t>
  </si>
  <si>
    <t>Filtrlər təmizləndikdən sonra ilkin məhsul sayı bərpa olundu.</t>
  </si>
  <si>
    <t>A2</t>
  </si>
  <si>
    <t>256 GB + 'Mövcuddur' seçilib ləğv olunur; ilkin məhsul sayı bərpa olunur</t>
  </si>
  <si>
    <t>TC_PLP_POS_012</t>
  </si>
  <si>
    <t>Filtrli səhifə yeniləndikdə və link yeni tabda açıldıqda filtr qorunur</t>
  </si>
  <si>
    <t>1. https://ispace.az/category/iphone ünvanını aç
2. 'Yaddaş' qrupunda '256 GB' seç
3. Filtr panelinin altındakı 'Tətbiq et' düyməsini bas
4. Səhifənin yuxarısındakı 'N Məhsul' mətnindən nəticə sayını qeyd et
5. Klaviaturada F5 bas (səhifəni yenilə)
6. Filtrin seçili qaldığını və nəticə sayını yoxla
7. Ünvan sətrindəki URL-i kopyala
8. Yeni tab aç və URL-i yapışdırıb aç
9. Filtrin seçili qaldığını və nəticə sayını yoxla</t>
  </si>
  <si>
    <t>Hər iki halda filtr seçili qalır, nəticə sayı və kartlar eynidir.</t>
  </si>
  <si>
    <t>Filtr səhifə yeniləndikdə və link yeni tabda açıldıqda qorunur.</t>
  </si>
  <si>
    <t>F5-dən sonra və eyni link yeni tabda açıldıqda say və '256 GB' filtri qorunur</t>
  </si>
  <si>
    <t>TC_PLP_NEG_013</t>
  </si>
  <si>
    <t>Nəticəsiz filtr kombinasiyasında boş vəziyyət mesajı göstərilir</t>
  </si>
  <si>
    <t>Neqativ · Funksional</t>
  </si>
  <si>
    <t>1. https://ispace.az/category/iphone ünvanını aç
2. Filtr panelinin 'Qiymət ₼' qrupunda 'qədər' sahəsinə test datasındakı dəyəri yaz
3. Filtr panelinin altındakı 'Tətbiq et' düyməsini bas
4. Səhifədə göstərilən mesaja bax</t>
  </si>
  <si>
    <t>'qədər' = 100 (bütün qiymətlərdən aşağı)</t>
  </si>
  <si>
    <t>'Məhsul tapılmadı' tipli mesaj və filtrləri təmizləmək imkanı göstərilir. Səhifə xəta vermir.</t>
  </si>
  <si>
    <t>Nəticəsiz kombinasiyada 'Məhsul tapılmadı. Daha az filtrdən istifadə edin və ya Hamısını silin' mesajı göstərildi.</t>
  </si>
  <si>
    <t>M3 — kataloq dəyişdikcə 'nəticəsiz' kombinasiya nəticə verə bilər</t>
  </si>
  <si>
    <t>TC_PLP_POS_014</t>
  </si>
  <si>
    <t>Qiymət aralığı daxilində olan məhsullar göstərilir</t>
  </si>
  <si>
    <t>1. https://ispace.az/category/iphone ünvanını aç
2. 'Qiymət ₼' qrupunda 'dən' sahəsinə 2000 yaz
3. 'qədər' sahəsinə 3000 yaz
4. Filtr panelinin altındakı 'Tətbiq et' düyməsini bas
5. Bütün səhifələrdəki kartların qiymətini yoxla</t>
  </si>
  <si>
    <t>min = 2000, max = 3000 (etibarlı sinif)</t>
  </si>
  <si>
    <t>Bütün kartların qiyməti 2000 ≤ qiymət ≤ 3000. Nəticə sayı &gt; 0.</t>
  </si>
  <si>
    <t>2000–3000 ₼ aralığında bütün nəticələrin qiyməti aralıq daxilindədir; nəticə sayı &gt; 0.</t>
  </si>
  <si>
    <t>BR-04</t>
  </si>
  <si>
    <t>Desktop-da qiymət filtri Enter ilə tətbiq olunur; Java: bütün qiymətlər 2000–3000 aralığındadır</t>
  </si>
  <si>
    <t>TC_PLP_BVA_015</t>
  </si>
  <si>
    <t>Qiymət filtrinin sərhədləri daxildir (min = max = məhsulun qiyməti)</t>
  </si>
  <si>
    <t>BVA · Funksional</t>
  </si>
  <si>
    <t>1. https://ispace.az/category/iphone ünvanını aç
2. 'Səbətə' düyməsi olan bir məhsulun qiymətini (Q) qeyd et
3. 'dən' sahəsinə Q yaz
4. 'qədər' sahəsinə Q yaz
5. Filtr panelinin altındakı 'Tətbiq et' düyməsini bas
6. Həmin məhsulun nəticədə olduğunu və bütün qiymətlərin Q olduğunu yoxla</t>
  </si>
  <si>
    <t>Q — icra zamanı seçilən məhsulun qiyməti (məs. 2409)</t>
  </si>
  <si>
    <t>Həmin məhsul nəticədədir; bütün nəticələrin qiyməti = Q.</t>
  </si>
  <si>
    <t>min = max = 2409 ₼: yalnız qiyməti 2409 ₼ olan məhsullar göstərildi — sərhəd dəyəri daxildir (BR-04 təsdiqləndi).</t>
  </si>
  <si>
    <t>A2 — sərhəd səhvi (&lt; əvəzinə ≤) tipik regression-dur</t>
  </si>
  <si>
    <t>Qiymət filtri desktop-da Enter ilə tətbiq olunur; Q icra zamanı ilk kartdan götürülür</t>
  </si>
  <si>
    <t>TC_PLP_BVA_016</t>
  </si>
  <si>
    <t>Sərhəddən bir vahid kənar dəyər məhsulu xaric edir</t>
  </si>
  <si>
    <t>1. https://ispace.az/category/iphone ünvanını aç
2. Bir məhsulun qiymətini (Q) qeyd et
3. 'dən' = Q + 1, 'qədər' = Q + 1000 yaz
4. Filtr panelinin altındakı 'Tətbiq et' düyməsini bas
5. Q qiymətli məhsulun nəticədə olmadığını yoxla
6. 'dən' = Q − 1000, 'qədər' = Q − 1 yaz
7. Filtr panelinin altındakı 'Tətbiq et' düyməsini bas
8. Q qiymətli məhsulun nəticədə olmadığını yoxla</t>
  </si>
  <si>
    <t>Q + 1 və Q − 1</t>
  </si>
  <si>
    <t>Hər iki halda Q qiymətli məhsul nəticədə yoxdur.</t>
  </si>
  <si>
    <t>Q+1 və Q−1 aralıqlarında Q qiymətli məhsul nəticədə yoxdur.</t>
  </si>
  <si>
    <t>Q icra zamanı ilk kartdan götürülür; [Q+1, Q+500] və [Q−500, Q−1] aralıqlarında Q qiymətli kart yoxdur</t>
  </si>
  <si>
    <t>TC_PLP_NEG_017</t>
  </si>
  <si>
    <t>Minimum maksimumdan böyük olduqda sistem istifadəçini məlumatlandırır</t>
  </si>
  <si>
    <t>1. https://ispace.az/category/iphone ünvanını aç
2. 'Qiymət ₼' qrupunda 'dən' sahəsinə 3000 yaz
3. 'qədər' sahəsinə 1000 yaz
4. Filtr panelinin altındakı 'Tətbiq et' düyməsini bas
5. Göstərilən mesaja və nəticəyə bax</t>
  </si>
  <si>
    <t>min = 3000, max = 1000 (etibarsız sinif)</t>
  </si>
  <si>
    <t>Sistem ya xəta mesajı göstərir, ya da dəyərlərin yerini dəyişir. Mesajsız boş nəticə səhifəsi qəbuledilməzdir. Səhifə xəta vermir.</t>
  </si>
  <si>
    <t>min = 3000, max = 1000: səhifə xəta vermədi, 'Məhsul tapılmadı. Daha az filtrdən istifadə edin və ya Hamısını silin' boş vəziyyət mesajı göstərildi. Qeyd (UX təklifi): mesaj səbəbi (min &gt; max) izah etmir — OBS-01.</t>
  </si>
  <si>
    <t>M5 — gözlənilən davranış tələbdə yoxdur, biznes qərarı lazımdır</t>
  </si>
  <si>
    <t>TC_PLP_NEG_018</t>
  </si>
  <si>
    <t>Qiymət sahəsi qeyri-rəqəm və mənfi dəyərləri qəbul etmir</t>
  </si>
  <si>
    <t>1. https://ispace.az/category/iphone ünvanını aç
2. 'dən' sahəsinə 'abc' yazmağa çalış
3. Filtr panelinin altındakı 'Tətbiq et' düyməsini bas
4. Sahənin dəyərinə və nəticəyə bax
5. Sahəni təmizlə və '-100' yaz
6. Filtr panelinin altındakı 'Tətbiq et' düyməsini bas
7. Sahənin dəyərinə və nəticəyə bax
8. Sahəni təmizlə və '1 000,50' yaz
9. Filtr panelinin altındakı 'Tətbiq et' düyməsini bas
10. Sahənin dəyərinə və nəticəyə bax</t>
  </si>
  <si>
    <t>abc; -100; 1 000,50</t>
  </si>
  <si>
    <t>Hərflər və mənfi işarə sahəyə yazılmır və ya filtr tətbiq olunmur və bildiriş göstərilir. Səhifə xəta vermir, nəticələr pozulmur.</t>
  </si>
  <si>
    <t>Mənfi işarə və '1 000,50' formatı sahəyə yazılmır; səhifə xəta vermir.</t>
  </si>
  <si>
    <t>M5 — bir dəfəlik input yoxlaması, regression dəyəri aşağı</t>
  </si>
  <si>
    <t>TC_PLP_POS_019</t>
  </si>
  <si>
    <t>'Aşağı qiymət' sıralaması qiymətləri artan sırada göstərir</t>
  </si>
  <si>
    <t>1. https://ispace.az/category/iphone ünvanını aç
2. Məhsul siyahısının üstündəki sıralama siyahısını aç
3. 'Aşağı qiymət' seç
4. 1-ci səhifədəki qiymətləri yuxarıdan aşağı ardıcıl oxu və müqayisə et</t>
  </si>
  <si>
    <t>Hər növbəti kartın qiyməti əvvəlkindən ≥-dir.</t>
  </si>
  <si>
    <t>'Aşağı qiymət': qiymətlər artan sıradadır.</t>
  </si>
  <si>
    <t>BR-03</t>
  </si>
  <si>
    <t>Sıralama custom dropdown-dur (əsl select gizlidir); URL sort=cheap; Java: qiymətlər artan</t>
  </si>
  <si>
    <t>TC_PLP_POS_020</t>
  </si>
  <si>
    <t>'Yüksək qiymət' sıralaması azalan sıradadır və ilk məhsul ən bahalısıdır</t>
  </si>
  <si>
    <t>1. https://ispace.az/category/iphone ünvanını aç
2. 'Qiymət ₼' qrupundakı 'Ən yüksək qiymət' dəyərini (Qmax) qeyd et
3. Sıralama siyahısından 'Yüksək qiymət' seç
4. İlk kartın qiymətini Qmax ilə müqayisə et
5. 1-ci səhifədəki qiymətlərin azalan sırada olduğunu yoxla</t>
  </si>
  <si>
    <t>Qmax — icra zamanı oxunur (04.10: 7 229 ₼)</t>
  </si>
  <si>
    <t>1. Qiymətlər azalan sıradadır.
2. İlk kartın qiyməti = Qmax.</t>
  </si>
  <si>
    <t>'Yüksək qiymət': qiymətlər azalan sıradadır, ilk kartın qiyməti filtrdəki 'Ən yüksək qiymət' ilə eynidir.</t>
  </si>
  <si>
    <t>BR-03, BR-05</t>
  </si>
  <si>
    <t>URL sort=expensive; Java: qiymətlər azalan; ilk kartın qiyməti = filtrdəki 'Ən yüksək qiymət'</t>
  </si>
  <si>
    <t>TC_PLP_POS_021</t>
  </si>
  <si>
    <t>Sıralama növbəti səhifədə də davam edir</t>
  </si>
  <si>
    <t>1. https://ispace.az/category/iphone ünvanını aç
2. Sıralama siyahısından 'Aşağı qiymət' seç
3. 1-ci səhifədəki son kartın qiymətini (Q1) qeyd et
4. Səhifənin altındakı səhifələmədən '2' bas
5. 2-ci səhifədəki ilk kartın qiymətini (Q2) qeyd et
6. URL-də sıralama parametrinin qaldığını yoxla</t>
  </si>
  <si>
    <t>Q1 ≤ Q2 və 2-ci səhifədə də sıra artandır. URL-də sıralama parametri saxlanılır.</t>
  </si>
  <si>
    <t>1-ci səhifənin son qiyməti ≤ 2-ci səhifənin ilk qiyməti; sıra 2-ci səhifədə də artandır.</t>
  </si>
  <si>
    <t>1-ci səhifənin son qiyməti ≤ 2-ci səhifənin ilk qiyməti; hər iki səhifə artan sıradadır</t>
  </si>
  <si>
    <t>TC_PLP_POS_022</t>
  </si>
  <si>
    <t>Səhifə ölçüsü və səhifə sayı ümumi məhsul sayına uyğundur</t>
  </si>
  <si>
    <t>1. https://ispace.az/category/iphone ünvanını aç
2. Səhifənin yuxarısındakı 'N Məhsul' mətnindən nəticə sayını qeyd et
3. 1-ci səhifədəki kartları say
4. Səhifələmədəki son səhifə nömrəsini qeyd et
5. Son səhifəni aç və kartları say</t>
  </si>
  <si>
    <t>04.10: N = 213, səhifədə 21, 11 səhifə, sonuncuda 3</t>
  </si>
  <si>
    <t>1. Tam səhifələrdə 21 kart var.
2. Səhifə sayı = ⌈N / 21⌉.
3. Son səhifədə N − 21 × (səhifə sayı − 1) kart var.</t>
  </si>
  <si>
    <t>Tam səhifələrdə 21 kart, səhifə sayı ⌈N/21⌉, son səhifədəki kart sayı düsturla uyğundur (BR-14 təsdiqləndi).</t>
  </si>
  <si>
    <t>BR-14</t>
  </si>
  <si>
    <t>TC_PLP_POS_023</t>
  </si>
  <si>
    <t>Səhifələr arasında məhsul təkrarlanmır və itmir</t>
  </si>
  <si>
    <t>1. https://ispace.az/category/iphone ünvanını aç
2. Hər səhifədə bütün kartların linkini (URL) siyahıya yaz
3. Səhifələmə ilə növbəti səhifəyə keç və təkrarla — son səhifəyə qədər
4. Toplanan URL-lərin sayını N ilə müqayisə et
5. Siyahıda təkrarlanan URL olub-olmadığını yoxla</t>
  </si>
  <si>
    <t>Toplanmış URL-lərin sayı = N; təkrarlanan URL yoxdur.</t>
  </si>
  <si>
    <t>Bütün səhifələr ardıcıl açıldı; toplanan məhsul URL-lərinin sayı ümumi saya bərabərdir, təkrarlanan və ya itən məhsul yoxdur (10.10 təkrar icra).</t>
  </si>
  <si>
    <t>M3 — default 'Məşhur' sırası və eyni qiymətli məhsullar sorğular arasında yer dəyişə bilər → avtomat test flaky olar</t>
  </si>
  <si>
    <t>BR-03, BR-05, BR-14</t>
  </si>
  <si>
    <t>TC_FLT_POS_001</t>
  </si>
  <si>
    <t>'iPhone 18 Pro &amp; Pro Max' çipi seçildikdə nəticə sayı həmin seriyaların sayğaclarının cəminə bərabərdir</t>
  </si>
  <si>
    <t>Ümumi ön şərt (P0): Chrome son versiya, inkognito pəncərə, 1920×1080, AZ dili, login olmadan; filtr seçilməyib</t>
  </si>
  <si>
    <t>1. https://ispace.az/category/iphone ünvanını aç
2. Filtr panelinin 'Seriya' qrupunda 'iPhone 18 Pro (N1)' və 'iPhone 18 Pro Max (N2)' sayğaclarını qeyd et
3. Səhifənin yuxarısındakı 'iPhone 18 Pro &amp; iPhone 18 Pro Max' çipinə klik et
4. Açılan səhifənin URL-ini və başlığını qeyd et
5. Səhifənin yuxarısındakı 'N Məhsul' mətnindən nəticə sayını qeyd et
6. Nəticə sayını N1 + N2 ilə müqayisə et</t>
  </si>
  <si>
    <t>10.10: N1 = 16, N2 = 16 → gözlənilən 32</t>
  </si>
  <si>
    <t>/category/iphone-series-18-pro açılır; məhsul sayı = N1 + N2 (32); bütün kartlar iPhone 18 Pro və ya 18 Pro Max-dır.</t>
  </si>
  <si>
    <t>Gözlənilən nəticəyə uyğundur.</t>
  </si>
  <si>
    <t>A2 — iki səhifə arasında uyğunluq qaydası</t>
  </si>
  <si>
    <t>TC_FLT_POS_002</t>
  </si>
  <si>
    <t>Seriya filtri yalnız dəqiq seriyanı qaytarır (alt-seriyaları qarışdırmır)</t>
  </si>
  <si>
    <t>1. https://ispace.az/category/iphone ünvanını aç
2. 'Seriya' qrupunda yalnız 'iPhone 16 (N)' seç
3. Filtr panelinin altındakı 'Tətbiq et' düyməsini bas
4. Səhifənin yuxarısındakı 'N Məhsul' mətnindən nəticə sayını qeyd et
5. Bütün kartların adının 'iPhone 16,' ilə başladığını yoxla (16 Pro / Plus / Pro Max / 16e olmamalıdır)
6. Seçimi götür, yalnız 'iPhone 15' seç
7. Filtr panelinin altındakı 'Tətbiq et' düyməsini bas
8. Adları eyni qayda ilə yoxla</t>
  </si>
  <si>
    <t>10.10: iPhone 16 (17), iPhone 15 (15)</t>
  </si>
  <si>
    <t>Nəticə sayı = N. Bütün adlar 'iPhone 16,' ilə başlayır; 'iPhone 16 Pro', 'iPhone 16 Plus', 'iPhone 16 Pro Max', 'iPhone 16e' nəticədə YOXDUR. Mətnə əsaslanan 'contains' axtarışı səhvini tutur.</t>
  </si>
  <si>
    <t>A1, A2 — tipik substring bug-ı, regression üçün dəyərli</t>
  </si>
  <si>
    <t>Desktop-da filtr dərhal tətbiq olunur; bütün adlarda 'iPhone 16,' (vergüllə) yoxlanır</t>
  </si>
  <si>
    <t>TC_FLT_POS_003</t>
  </si>
  <si>
    <t>Bütün Seriya sayğaclarının cəmi ümumi məhsul sayına bərabərdir ('Daha çox göstər' açıq)</t>
  </si>
  <si>
    <t>1. https://ispace.az/category/iphone ünvanını aç
2. 'Seriya' qrupunda '+ Daha çox göstər' bas
3. Bütün seriyaların sayğaclarını topla
4. Cəmi ümumi 'N Məhsul' ilə müqayisə et</t>
  </si>
  <si>
    <t>10.10: görünən 10 seriyanın cəmi 150; gizli seriyalarla 213 olmalıdır</t>
  </si>
  <si>
    <t>Cəm = 213. Az olarsa — seriyası təyin edilməmiş məhsullar var (Seriya filtri ilə tapılmır); çox olarsa — bir məhsul iki seriyaya bağlanıb.</t>
  </si>
  <si>
    <t>TC_FLT_POS_004</t>
  </si>
  <si>
    <t>Ekran diaqonalı filtri: say və PDP göstəricisi uyğundur</t>
  </si>
  <si>
    <t>1. https://ispace.az/category/iphone ünvanını aç
2. 'Ekran diaqonalı' qrupunda '6.90" (N)' seç
3. Filtr panelinin altındakı 'Tətbiq et' düyməsini bas
4. Səhifənin yuxarısındakı 'N Məhsul' mətnindən nəticə sayını qeyd et
5. Təsadüfi 3 nəticənin məhsul səhifəsini aç və 'Ekran diaqonalı' göstəricisini oxu
6. Filtri '7.60"' ilə dəyiş
7. Filtr panelinin altındakı 'Tətbiq et' düyməsini bas
8. Nəticədəki modellərin adlarını qeyd et</t>
  </si>
  <si>
    <t>10.10: 6.90" (40), 7.60" (8)</t>
  </si>
  <si>
    <t>Say = sayğac; seçilmiş PDP-lərdə 'Ekran diaqonalı 6.90"'. 7.60" nəticələri yalnız həmin ölçülü modeldir (məs. iPhone Duo) — məntiqsiz model (məs. iPhone 16e) yoxdur.</t>
  </si>
  <si>
    <t>A2 — filtr datası ilə PDP datasının uyğunluğu</t>
  </si>
  <si>
    <t>TC_FLT_POS_005</t>
  </si>
  <si>
    <t>'48 MP' əsas kamera filtri seçildikdə yalnız tək arxa kameralı modellər göstərilir (12 məhsul)</t>
  </si>
  <si>
    <t>1. https://ispace.az/category/iphone ünvanını aç
2. 'Əsas kamera' qrupunda '48 Mpixel (N)' seç
3. Filtr panelinin altındakı 'Tətbiq et' düyməsini bas
4. Səhifənin yuxarısındakı 'N Məhsul' mətnindən nəticə sayını qeyd et
5. Nəticədəki model adlarını qeyd et
6. 2 nəticənin məhsul səhifəsində 'Əsas kamera' göstəricisini oxu</t>
  </si>
  <si>
    <t>10.10: 48 Mpixel (12)</t>
  </si>
  <si>
    <t>Say = 12; nəticələr yalnız tək arxa kameralı modellərdir (məs. iPhone 16e, 17e, Air); PDP-də 'Əsas kamera 48 Mpixel'. Pro modeli bu qrupa düşmür.</t>
  </si>
  <si>
    <t>TC_FLT_EDGE_006</t>
  </si>
  <si>
    <t>'Video izləmə müddəti' filtrinin bütün dəyərləri azərbaycanca və eyni vahidlə ('saat') yazılır</t>
  </si>
  <si>
    <t>P4 — Low</t>
  </si>
  <si>
    <t>Edge Case · Funksional</t>
  </si>
  <si>
    <t>1. https://ispace.az/category/iphone ünvanını aç
2. 'Video izləmə müddəti' qrupunda '+ Daha çox göstər' bas
3. Qrupdakı bütün dəyərləri siyahıya yaz
4. Hər dəyərin vahidini ('saat' və ya başqa) qeyd et</t>
  </si>
  <si>
    <t>10.10: '36 Hours (16)', '45 Hours (16)' — digərləri 'saat'</t>
  </si>
  <si>
    <t>Bütün dəyərlər 'saat' vahidi ilə, azərbaycanca yazılır; '36 Hours', '45 Hours' kimi ingiliscə dəyər yoxdur.</t>
  </si>
  <si>
    <t>AZ səhifədə '36 Hours' və '45 Hours' dəyərləri ingiliscədir, digər dəyərlər 'saat' ilə yazılıb (10.10 icrası).</t>
  </si>
  <si>
    <t>Fail</t>
  </si>
  <si>
    <t>M1 — data keyfiyyəti və tərcümə</t>
  </si>
  <si>
    <t>BUG-011</t>
  </si>
  <si>
    <t>BR-18</t>
  </si>
  <si>
    <t>TC_FLT_EDGE_007</t>
  </si>
  <si>
    <t>'36 Hours' filtri ilə tapılan modellərin məhsul səhifəsindəki video izləmə müddəti 36 saatdır</t>
  </si>
  <si>
    <t>1. https://ispace.az/category/iphone ünvanını aç
2. 'Video izləmə müddəti' qrupunda '+ Daha çox göstər' bas
3. '36 Hours' seç
4. Filtr panelinin altındakı 'Tətbiq et' düyməsini bas
5. Birinci nəticənin məhsul səhifəsini aç
6. 'Texniki göstəricilər'də video izləmə müddətini oxu
7. Digər 2 nəticə üçün 5–6-cı addımları təkrarla</t>
  </si>
  <si>
    <t>'Video izləmə müddəti' = '36 Hours' (10.10: 16 nəticə)</t>
  </si>
  <si>
    <t>Nəticədəki hər modelin məhsul səhifəsində video izləmə müddəti 36 saatdır.</t>
  </si>
  <si>
    <t>'36 Hours' seçildikdə nəticədə olan 'iPhone 18 Pro, 512 GB, Burgundy' məhsul səhifəsində video izləmə müddəti 34 saata qədər göstərilir — filtr dəyəri ilə uyğun deyil (10.10 icrası).</t>
  </si>
  <si>
    <t>M1 — PDP göstəricisi ilə müqayisə</t>
  </si>
  <si>
    <t>BUG-021</t>
  </si>
  <si>
    <t>TC_FLT_POS_008</t>
  </si>
  <si>
    <t>SIM kart növü filtri bir-birini istisna edir</t>
  </si>
  <si>
    <t>1. https://ispace.az/category/iphone ünvanını aç
2. 'SIM kart növü' qrupunda 'eSIM (N1)' seç
3. Filtr panelinin altındakı 'Tətbiq et' düyməsini bas
4. Səhifənin yuxarısındakı 'N Məhsul' mətnindən nəticə sayını qeyd et
5. 2 nəticənin məhsul səhifəsində 'SIM kart növü'nü oxu
6. Seçimi 'Nano-SIM + eSIM (N2)' ilə dəyiş
7. Filtr panelinin altındakı 'Tətbiq et' düyməsini bas
8. Nəticədə eSIM-only modellərin olmadığını yoxla
9. N1 + N2-ni ümumi say ilə müqayisə et</t>
  </si>
  <si>
    <t>10.10: eSIM (26), Nano-SIM + eSIM (187)</t>
  </si>
  <si>
    <t>eSIM nəticələri = 26 və PDP-də 'eSIM'; Nano-SIM + eSIM nəticələrində eSIM-only modellər yoxdur; 26 + 187 = 213.</t>
  </si>
  <si>
    <t>eSIM nəticələri sayğacla uyğundur və məhsul səhifələrində 'eSIM' yazılıb; 'Nano-SIM + eSIM' nəticələrində eSIM-only modellər yoxdur; 26 + 187 = 213.</t>
  </si>
  <si>
    <t>TC_FLT_EDGE_009</t>
  </si>
  <si>
    <t>Hər məhsul ən azı bir Rəng dəyərinə bağlıdır (rəng sayğacları cəmi = 213)</t>
  </si>
  <si>
    <t>1. https://ispace.az/category/iphone ünvanını aç
2. 'Rəng' qrupunda '+ Daha çox göstər' bas
3. Bütün rəng sayğaclarını topla
4. Cəmi ümumi 'N Məhsul' ilə müqayisə et</t>
  </si>
  <si>
    <t>10.10: görünən 10 rəngin cəmi 204; gizlilərlə 213 olmalıdır</t>
  </si>
  <si>
    <t>Cəm = 213. Az olarsa — rəngi təyin edilməmiş məhsullar var (məs. Lavender, Sage, Cosmic Orange, Glacier, Burgundy) və onlar heç bir rəng filtri ilə tapılmır.</t>
  </si>
  <si>
    <t>'Daha çox göstər' açıq halda rəng sayğaclarının cəmi = 213; hər məhsul bir rəngə bağlıdır.</t>
  </si>
  <si>
    <t>TC_FLT_EDGE_010</t>
  </si>
  <si>
    <t>Hər modelin Apple rəng adı vizual rənginə uyğun Rəng filtri dəyərində tapılır</t>
  </si>
  <si>
    <t>1. https://ispace.az/category/iphone ünvanını aç
2. 'Rəng' qrupunda test datasındakı birinci modelə uyğun rəngi seç
3. Filtr panelinin altındakı 'Tətbiq et' düyməsini bas
4. Modelin nəticədə olub-olmadığını qeyd et
5. Test datasındakı digər modellər üçün 2–4-cü addımları təkrarla</t>
  </si>
  <si>
    <t>Model → gözlənilən rəng filtri: iPhone 17 Lavender → Bənövşəyi/Cəhrayı; iPhone 17 Sage → Yaşıl; iPhone 17 Pro Cosmic Orange → Narıncı; iPhone 17 Pro Max Deep Blue → Mavi; iPhone 18 Pro Glacier → Ağ/Gümüş; iPhone 18 Pro Burgundy → Qırmızı</t>
  </si>
  <si>
    <t>Hər model vizual rənginə uyğun bir filtrdə tapılır. Heç bir filtrdə tapılmayan və ya açıq-aydın səhv rəngdə olan (məs. Burgundy → Mavi) model — data bug-ı.</t>
  </si>
  <si>
    <t>M1 — rəng uyğunluğu insan qiymətləndirməsidir</t>
  </si>
  <si>
    <t>TC_FLT_EDGE_011</t>
  </si>
  <si>
    <t>'Əlavə xüsusiyyətlər' filtri bütün uyğun məhsulları qaytarır (data tamlığı)</t>
  </si>
  <si>
    <t>1. https://ispace.az/category/iphone ünvanını aç
2. 'Əlavə xüsusiyyətlər' qrupunda 'Dynamic Island (N)' seç
3. Filtr panelinin altındakı 'Tətbiq et' düyməsini bas
4. Səhifənin yuxarısındakı 'N Məhsul' mətnindən nəticə sayını qeyd et
5. Nəticədəki model adlarını qeyd et
6. Filtrsiz siyahıda Dynamic Island olan modellərin (iPhone 15 / 16 / 17 / 18) sayını N ilə müqayisə et</t>
  </si>
  <si>
    <t>10.10: bütün xüsusiyyətlər yalnız (8). Dynamic Island iPhone 15-dən bəri bütün əsas modellərdədir — kateqoriyada 100+ belə məhsul var</t>
  </si>
  <si>
    <t>Filtr xüsusiyyəti olan bütün məhsulları qaytarır və ya xüsusiyyət datası tam deyilsə filtr göstərilmir. 8 nəticə — istifadəçi uyğun modellərin 90%-dən çoxunu görmür (data bug-ı).</t>
  </si>
  <si>
    <t>M1 — gözlənilən say Apple spesifikasiyasına əsaslanır, insan yoxlaması lazımdır</t>
  </si>
  <si>
    <t>TC_FLT_UI_012</t>
  </si>
  <si>
    <t>'Əlavə xüsusiyyətlər' dəyərləri azərbaycancadır</t>
  </si>
  <si>
    <t>UI</t>
  </si>
  <si>
    <t>1. https://ispace.az/category/iphone ünvanını aç
2. 'Əlavə xüsusiyyətlər' qrupunda '+ Daha çox göstər' bas
3. Qrupdakı bütün dəyərləri oxu və dilini qeyd et</t>
  </si>
  <si>
    <t>10.10: 'ProMotion technology with adaptive refresh rates up to 120Hz', '1600 nits peak brightness (HDR)', '3000 nits peak brightness (outdoor)', 'Always On display'</t>
  </si>
  <si>
    <t>Bütün dəyərlər azərbaycancadır (brend terminləri — Dynamic Island, True Tone — istisna ola bilər).</t>
  </si>
  <si>
    <t>AZ səhifədə 'Əlavə xüsusiyyətlər' dəyərlərinin bir qismi azərbaycanca, bir qismi ingiliscədir (məs. 'ProMotion technology with adaptive refresh rates up to 120Hz', '… nits peak brightness').</t>
  </si>
  <si>
    <t>M1</t>
  </si>
  <si>
    <t>BUG-020</t>
  </si>
  <si>
    <t>TC_FLT_POS_013</t>
  </si>
  <si>
    <t>Filtr seçildikdən sonra digər qrupların sayğacları nəticəyə görə yenilənir</t>
  </si>
  <si>
    <t>1. https://ispace.az/category/iphone ünvanını aç
2. 'Yaddaş' qrupunda '2 TB (N)' seç
3. Filtr panelinin altındakı 'Tətbiq et' düyməsini bas
4. 'Rəng', 'Seriya' və 'Stokda var' qruplarının sayğaclarını oxu
5. Hər qrupun sayğac cəmini N ilə müqayisə et</t>
  </si>
  <si>
    <t>10.10: 2 TB (13)</t>
  </si>
  <si>
    <t>Bütün qrupların sayğacları yalnız 2 TB nəticələrinə aiddir; hər bir-birini istisna edən qrupda cəm = 13; 0 nəticəli dəyərlər gizlənir və ya deaktivdir. Sayğaclar dəyişmirsə — istifadəçi '0 nəticə' verən kombinasiyalar seçir.</t>
  </si>
  <si>
    <t>TC_FLT_POS_014</t>
  </si>
  <si>
    <t>'Tətbiq et' basılmadan seçim nəticəni dəyişmir və itmir</t>
  </si>
  <si>
    <t>1. https://ispace.az/category/iphone ünvanını aç
2. Səhifənin yuxarısındakı 'N Məhsul' mətnindən nəticə sayını qeyd et
3. 'Yaddaş' qrupunda '512 GB' seç — 'Tətbiq et' BASMA
4. Səhifənin yuxarısındakı 'N Məhsul' mətnindən nəticə sayını qeyd et — dəyişməməlidir
5. Sıralama siyahısından 'Aşağı qiymət' seç
6. Filtr panelindəki '512 GB' işarəsinə və nəticəyə bax</t>
  </si>
  <si>
    <t>'Tətbiq et'-ə qədər nəticə dəyişmir. Sıralama dəyişəndə tətbiq olunmamış seçim ya ləğv olunur, ya da açıq şəkildə tətbiq edilir — panel və nəticə arasında ziddiyyət (checkbox seçili, nəticə filtrsiz) yoxdur.</t>
  </si>
  <si>
    <t>TC_FLT_POS_015</t>
  </si>
  <si>
    <t>'+ Daha çox göstər' gizli dəyəri seçdikdən sonra aktiv filtr görünür qalır</t>
  </si>
  <si>
    <t>1. https://ispace.az/category/iphone ünvanını aç
2. 'Rəng' qrupunda '+ Daha çox göstər' bas
3. Yalnız gizli siyahıda olan bir rəngi seç
4. Filtr panelinin altındakı 'Tətbiq et' düyməsini bas
5. Səhifə yeniləndikdən sonra 'Rəng' qrupunda seçilmiş rəngin göründüyünü yoxla</t>
  </si>
  <si>
    <t>Qrup açılır/bağlanır; seçilmiş gizli dəyər tətbiqdən sonra görünür (qrup açıq qalır və ya seçilmiş dəyər yuxarıda göstərilir). İstifadəçi aktiv filtri axtarmaq məcburiyyətində qalmır.</t>
  </si>
  <si>
    <t>TC_FLT_POS_016</t>
  </si>
  <si>
    <t>Aktiv filtrlər görünür və tək-tək silinə bilir</t>
  </si>
  <si>
    <t>1. https://ispace.az/category/iphone ünvanını aç
2. '256 GB', 'Qara' və 'Mövcuddur' seç
3. Filtr panelinin altındakı 'Tətbiq et' düyməsini bas
4. Aktiv filtrlərin harada göstərildiyinə bax
5. Yalnız 'Qara' seçimini götür
6. Filtr panelinin altındakı 'Tətbiq et' düyməsini bas
7. Qalan filtrlərə və nəticə sayına bax
8. Bütün filtrləri birdən silmək imkanını axtar</t>
  </si>
  <si>
    <t>Aktiv filtrlər görünür; 'Qara' silindikdə digər ikisi qalır və nəticə müvafiq yenilənir; filtr panelində hamısını təmizləmək imkanı var (10.10: 'Hamısını sil' yalnız 'Məhsul tapılmadı' vəziyyətində görünür).</t>
  </si>
  <si>
    <t>M5 — UX tələbi təsdiqlənməyib</t>
  </si>
  <si>
    <t>TC_FLT_POS_017</t>
  </si>
  <si>
    <t>Üç fərqli qrupdan filtr kombinasiyası dəqiq nəticə verir</t>
  </si>
  <si>
    <t>1. https://ispace.az/category/iphone ünvanını aç
2. 'Seriya' qrupunda 'iPhone 18 Pro' seç
3. 'Yaddaş' qrupunda '1 TB' seç
4. 'Rəng' qrupunda 'Gümüş' seç
5. Filtr panelinin altındakı 'Tətbiq et' düyməsini bas
6. Bütün nəticələrin adının 'iPhone 18 Pro, 1 TB, Gümüş' olduğunu yoxla
7. Rəngi 'Qara' ilə dəyiş
8. Filtr panelinin altındakı 'Tətbiq et' düyməsini bas
9. Adları eyni qayda ilə yoxla</t>
  </si>
  <si>
    <t>04.10 kataloqunda: 'iPhone 18 Pro, 1 TB, Gümüş' mövcuddur</t>
  </si>
  <si>
    <t>Bütün nəticələr hər üç şərtə uyğundur (ad 'iPhone 18 Pro, 1 TB, Gümüş'); Pro Max və digər yaddaşlar yoxdur; nəticə sayı &gt; 0.</t>
  </si>
  <si>
    <t>A1, A2 — 3 ölçülü AND məntiqi</t>
  </si>
  <si>
    <t>Seriya + Yaddaş + Rəng (Gümüş → Qara); bütün adlarda tam kombinasiya ('iPhone 18 Pro, 1 TB, Gümüş') yoxlanır</t>
  </si>
  <si>
    <t>TC_FLT_EDGE_018</t>
  </si>
  <si>
    <t>Filtr və 'Aşağı qiymət' sıralaması ilə səhifələr arasında keçdikdə filtr və sıra bütün səhifələrdə saxlanır</t>
  </si>
  <si>
    <t>1. https://ispace.az/category/iphone ünvanını aç
2. 'Stokda var' qrupunda 'Mövcud deyil (N)' seç
3. Filtr panelinin altındakı 'Tətbiq et' düyməsini bas
4. Sıralama siyahısından 'Aşağı qiymət' seç
5. Səhifələmədən '2' bas — filtr və sıralamanın qaldığını yoxla
6. Son səhifəni aç — səhifə sayını və kart sayını qeyd et</t>
  </si>
  <si>
    <t>10.10: Mövcud deyil (167) → ⌈167/21⌉ = 8 səhifə, sonuncuda 20 kart</t>
  </si>
  <si>
    <t>Hər səhifədə filtr və sıralama saxlanır (URL və UI); bütün kartlar stokda deyil; qiymətlər səhifələr boyu artan; səhifə sayı 8, son səhifədə 20 kart.</t>
  </si>
  <si>
    <t>BR-03, BR-14</t>
  </si>
  <si>
    <t>12.10: data dəyişdi — 'Mövcud deyil' 171 məhsul, 9 səhifə; son səhifədə qiyməti olmayan 'Tezliklə satışda' kartları (iPhone Duo) var. Ona görə son səhifədə qiymət sırası yox, filtr/sıralamanın saxlanması və 'Səbətə' olmaması yoxlanır. Sıra səhifə 1, 2 və səhifələr arası yoxlanır 15.10: 'Mənə xəbər ver' sayı yoxlaması çıxarıldı — stokda olmayan kartların düymə növü dəyişə bilir; stokda olmamaq 'Səbətə' sayı = 0 ilə yoxlanır.</t>
  </si>
  <si>
    <t>TC_FLT_EDGE_019</t>
  </si>
  <si>
    <t>Brauzerin 'Geri' düyməsi əvvəlki filtr vəziyyətini bərpa edir</t>
  </si>
  <si>
    <t>1. https://ispace.az/category/iphone ünvanını aç
2. '256 GB' seç və 'Tətbiq et' bas (vəziyyət A)
3. Əlavə olaraq 'Qara' seç və 'Tətbiq et' bas (vəziyyət B)
4. Brauzerin 'Geri' düyməsini bas
5. URL-ə, filtr panelinə və nəticələrə bax</t>
  </si>
  <si>
    <t>Vəziyyət A bərpa olunur: URL, panel checkbox-ları və nəticələr yalnız 256 GB-dır. URL A-ya qayıdıb panel B-ni göstərirsə — ziddiyyət.</t>
  </si>
  <si>
    <t>TC_FLT_EDGE_020</t>
  </si>
  <si>
    <t>Dil dəyişəndə filtr qorunur və sayğaclar eynidir</t>
  </si>
  <si>
    <t>1. https://ispace.az/category/iphone ünvanını aç
2. '512 GB' və 'Mövcuddur' seç
3. Filtr panelinin altındakı 'Tətbiq et' düyməsini bas
4. Səhifənin yuxarısındakı 'N Məhsul' mətnindən nəticə sayını qeyd et
5. Header-dəki dil seçimindən 'English' seç
6. Filtr panelində seçimlərə və nəticə sayına bax</t>
  </si>
  <si>
    <t>EN versiyada eyni filtrlər seçili, nəticə sayı eynidir; filtr adları ingiliscədir.</t>
  </si>
  <si>
    <t>Filtrlər tətbiq edildikdən sonra dil EN-ə dəyişdirildikdə filtrlər silindi, bütün məhsullar göstərildi.</t>
  </si>
  <si>
    <t>BUG-022</t>
  </si>
  <si>
    <t>BR-10</t>
  </si>
  <si>
    <t>TC_FLT_EDGE_021</t>
  </si>
  <si>
    <t>Endirimli məhsul qiymət filtrində endirimli (faktiki) qiymətinə görə tapılır</t>
  </si>
  <si>
    <t>Ümumi ön şərt (P0): Chrome son versiya, inkognito pəncərə, 1920×1080, AZ dili, login olmadan; endirimli məhsul olan kateqoriya açıqdır (məs. https://ispace.az/category/extra-deals)</t>
  </si>
  <si>
    <t>1. https://ispace.az/category/extra-deals ünvanını aç
2. Endirimli məhsulun köhnə (K, üstündən xətt) və yeni (Y) qiymətini qeyd et
3. 'Qiymət ₼' qrupunda 'dən' = Y − 1, 'qədər' = Y + 1 yaz
4. Filtr panelinin altındakı 'Tətbiq et' düyməsini bas
5. Məhsulun nəticədə olduğunu yoxla
6. 'dən' = K − 1, 'qədər' = K + 1 yaz
7. Filtr panelinin altındakı 'Tətbiq et' düyməsini bas
8. Məhsulun nəticədə olmadığını yoxla</t>
  </si>
  <si>
    <t>K və Y icra zamanı oxunur</t>
  </si>
  <si>
    <t>1-ci aralıqda (yeni qiymət) məhsul nəticədədir, 2-ci aralıqda (köhnə qiymət) yoxdur.</t>
  </si>
  <si>
    <t>M3 — endirimlər kampaniyaya bağlıdır</t>
  </si>
  <si>
    <t>TC_FLT_BVA_022</t>
  </si>
  <si>
    <t>Qiymət filtrində yalnız 'dən', yalnız 'qədər' və ən yüksək qiymətdən böyük dəyər daxil edildikdə nəticə sərhədə uyğundur</t>
  </si>
  <si>
    <t>1. https://ispace.az/category/iphone ünvanını aç
2. Yalnız 'dən' = 7000 yaz
3. Filtr panelinin altındakı 'Tətbiq et' düyməsini bas
4. Nəticələrin qiymətini yoxla
5. Sahələri təmizlə; yalnız 'qədər' = 1100 yaz
6. Filtr panelinin altındakı 'Tətbiq et' düyməsini bas
7. Nəticələrin qiymətini yoxla
8. Sahələri təmizlə; 'qədər' = 99999 yaz
9. Filtr panelinin altındakı 'Tətbiq et' düyməsini bas
10. Səhifənin yuxarısındakı 'N Məhsul' mətnindən nəticə sayını qeyd et
11. 'dən' = 'Ən yüksək qiymət' dəyəri yaz
12. Filtr panelinin altındakı 'Tətbiq et' düyməsini bas
13. Nəticələrin qiymətini yoxla
14. 'dən' = 'Ən yüksək qiymət' + 1 yaz
15. Filtr panelinin altındakı 'Tətbiq et' düyməsini bas
16. Göstərilən mesaja bax</t>
  </si>
  <si>
    <t>10.10: Ən yüksək qiymət 7 229 ₼</t>
  </si>
  <si>
    <t>1) bütün nəticələr ≥ 7 000; 2) hamısı ≤ 1 100 (və ya boş vəziyyət); 3) 213 məhsul; 4) yalnız 7 229 ₼-lıq məhsul(lar); 5) 'Məhsul tapılmadı'. Səhifə xəta vermir.</t>
  </si>
  <si>
    <t>1) ≥ 7 000 ✔; 2) ≤ 1 100 ✔; 3) 'qədər' sahəsinə Ən yüksək qiymətdən böyük dəyər yazılanda avtomatik 7 229-a endirilir (clamp) və bütün məhsullar göstərilir ✔; 4) ✔; 5) 'dən' = 7 230 yazılanda da avtomatik 7 229-a endirilir — 'Məhsul tapılmadı' əvəzinə 7 229 ₼-lıq məhsullar göstərilir. Davranış ardıcıldır və məqbuldur (sahə sərhədə bərabərləşdirilir).</t>
  </si>
  <si>
    <t>A2 — BVA sərhədləri 'Ən yüksək qiymət'dən icra zamanı hesablanır</t>
  </si>
  <si>
    <t>BR-04, BR-05</t>
  </si>
  <si>
    <t>TC_FLT_EDGE_023</t>
  </si>
  <si>
    <t>Filtrli URL-də parametr əl ilə səhv dəyərə dəyişdirildikdə boş vəziyyət və ya filtrsiz siyahı göstərilir</t>
  </si>
  <si>
    <t>1. https://ispace.az/category/iphone ünvanını aç
2. '256 GB' seç
3. Filtr panelinin altındakı 'Tətbiq et' düyməsini bas
4. URL-dəki filtr parametrini qeyd et
5. URL-də parametrin dəyərinin sonuna 'xyz' əlavə et və Enter bas
6. Səhifədə göstərilənə bax
7. URL-də parametrin dəyərini tamamilə sil və Enter bas
8. Səhifədə göstərilənə bax</t>
  </si>
  <si>
    <t>Səhv dəyərdə boş vəziyyət mesajı və ya filtrsiz siyahı göstərilir; texniki xəta mesajı və ya boş ağ səhifə yoxdur.</t>
  </si>
  <si>
    <t>M5</t>
  </si>
  <si>
    <t>TC_PDP_POS_001</t>
  </si>
  <si>
    <t>Stokda olan məhsulun səhifəsində ad, məhsul kodu, qiymət, aylıq ödəniş, 'Səbətə' və '1 kliklə al' göstərilir</t>
  </si>
  <si>
    <t>1. Test datasındakı məhsul səhifəsini aç
2. 'Mağazanın yüklənməsi' yazısı yox olana qədər gözlə
3. Ad, məhsul kodu, qiymət və aylıq ödəniş mətnini yoxla
4. Breadcrumb-u və ən azı 1 şəklin göstərildiyini yoxla
5. 'Səbətə' və '1 kliklə al' düymələrini yoxla</t>
  </si>
  <si>
    <t>https://ispace.az/product/iphone-17-256-gb-lavender-mg6m4af-a (icra günü stokda olduğunu yoxla)</t>
  </si>
  <si>
    <t>Ad, məhsul kodu, qiymət, aylıq ödəniş, breadcrumb, ən azı 1 şəkil, 'Səbətə' və '1 kliklə al' düymələri göstərilir.</t>
  </si>
  <si>
    <t>Ad, məhsul kodu, qiymət, aylıq ödəniş, breadcrumb, şəkil, 'Səbətə' və '1 kliklə al' düymələri göstərilir — gözlənilən nəticəyə uyğundur.</t>
  </si>
  <si>
    <t>A1</t>
  </si>
  <si>
    <t>BR-01, BR-08</t>
  </si>
  <si>
    <t>Test datası icra zamanı seçilir: 'Mövcuddur' filtrli siyahıdan ilk iPhone. '1 kliklə al' yalnız görünürlük yoxlanır, kliklənmir</t>
  </si>
  <si>
    <t>TC_PDP_POS_002</t>
  </si>
  <si>
    <t>PDP-dəki aylıq ödəniş listing kartındakı ilə eynidir</t>
  </si>
  <si>
    <t>1. https://ispace.az/category/iphone ünvanını aç
2. Stokda olan məhsul kartındakı aylıq ödəniş məbləğini və ay sayını qeyd et
3. Karta klik et — məhsul səhifəsi açılır
4. Qiymətin altındakı aylıq ödəniş məbləğini və ay sayını kartdakı ilə müqayisə et</t>
  </si>
  <si>
    <t>Stokda olan istənilən məhsul</t>
  </si>
  <si>
    <t>Aylıq məbləğ və ay sayı eynidir.</t>
  </si>
  <si>
    <t>Aylıq məbləğ və ay sayı listing kartı ilə eynidir.</t>
  </si>
  <si>
    <t>A2 — pul məlumatıdır; formula yox, uyğunluq yoxlanılır</t>
  </si>
  <si>
    <t>BR-08, BR-09</t>
  </si>
  <si>
    <t>Data: stokdakı ilk kart; Java: kartdakı və PDP-dəki aylıq ödəniş mətnində məbləğ və ay sayı eynidir</t>
  </si>
  <si>
    <t>TC_PDP_UI_003</t>
  </si>
  <si>
    <t>AZ versiyada məhsul təsviri və texniki göstəricilər tərcümə və orfoqrafiya səhvi olmadan göstərilir</t>
  </si>
  <si>
    <t>1. https://ispace.az/product/iphone-17-256-gb-lavender-mg6m4af-a ünvanını aç
2. Səhifəni aşağı sürüşdür, 'Məhsul təsviri' bölməsini aç və oxu
3. 'Texniki göstəricilər' bölməsini aç və başlıqları oxu</t>
  </si>
  <si>
    <t>Mətnlər azərbaycancadır, orfoqrafik səhv və tərcümə olunmamış başlıq yoxdur.</t>
  </si>
  <si>
    <t>Təsvir və texniki göstəricilər azərbaycancadır; orfoqrafik səhv və tərcümə olunmamış başlıq yoxdur.</t>
  </si>
  <si>
    <t>M1 — mətn keyfiyyəti</t>
  </si>
  <si>
    <t>TC_PDP_POS_004</t>
  </si>
  <si>
    <t>Yaddaş variantı dəyişəndə məhsul məlumatları yenilənir</t>
  </si>
  <si>
    <t>1. https://ispace.az/product/iphone-17-256-gb-lavender-mg6m4af-a ünvanını aç
2. Ad, məhsul kodu, qiymət və URL-i qeyd et
3. 'Yaddaş' seçimində '512 GB' bas
4. Yeni ad, məhsul kodu, qiymət, URL və seçili rəngi qeyd et</t>
  </si>
  <si>
    <t>256 GB → 512 GB</t>
  </si>
  <si>
    <t>URL, ad ('512 GB'), məhsul kodu və qiymət yeni varianta aiddir; qiymət 256 GB-dan fərqlidir; rəng seçimi qorunur; 512 GB seçili göstərilir.</t>
  </si>
  <si>
    <t>256 GB → 512 GB: URL, ad, məhsul kodu və qiymət yeni varianta keçdi; rəng seçimi qorundu.</t>
  </si>
  <si>
    <t>A1, A2 — səhv variantın satışı riski</t>
  </si>
  <si>
    <t>BR-06</t>
  </si>
  <si>
    <t>Data icra zamanı: stokdakı ilk iPhone və stokda olan başqa yaddaş variantı (16.10: əvvəlki konkret məhsulun 512 GB-ı stokdan çıxdı). Ad, SKU və qiymət dəyişir, rəng qorunur</t>
  </si>
  <si>
    <t>TC_PDP_POS_005</t>
  </si>
  <si>
    <t>Rəng variantı dəyişəndə məhsul məlumatları yenilənir</t>
  </si>
  <si>
    <t>1. https://ispace.az/product/iphone-17-256-gb-lavender-mg6m4af-a ünvanını aç
2. Ad, məhsul kodu, qiymət və URL-i qeyd et
3. 'Rəng' seçimində 'Black' bas
4. Yeni ad, məhsul kodu, qiymət, URL, seçili yaddaş və şəkli qeyd et</t>
  </si>
  <si>
    <t>Lavender → Black</t>
  </si>
  <si>
    <t>URL, ad və məhsul kodu yeni rəngə aiddir; yaddaş (256 GB) seçimi dəyişmir; qiymət eyni qalır (eyni yaddaş); şəkil dəyişir.</t>
  </si>
  <si>
    <t>Lavender → Black: URL, ad, məhsul kodu və şəkil dəyişdi; yaddaş seçimi və qiymət eyni qaldı.</t>
  </si>
  <si>
    <t>A1, A2 (şəkil dəyişikliyi manual baxılır)</t>
  </si>
  <si>
    <t>Data icra zamanı: stokdakı ilk iPhone və onun başqa rəngi; ad, SKU, rəng dəyişir, yaddaş və qiymət qorunur. Şəkil dəyişikliyi manual baxılır</t>
  </si>
  <si>
    <t>TC_PDP_BVA_006</t>
  </si>
  <si>
    <t>Miqdar 1-dən aşağı enmir, '+' ilə artır</t>
  </si>
  <si>
    <t>1. Stokda olan məhsulun səhifəsini aç (məs. test datası)
2. Miqdar sahəsinin default dəyərini oxu
3. '+' düyməsini bas
4. Miqdarı oxu
5. '−' düyməsini bas
6. Miqdarı oxu
7. '−' düyməsini bir daha bas
8. Miqdarı və '−' düyməsinin vəziyyətini oxu</t>
  </si>
  <si>
    <t>Miqdar: 1 → 2 → 1 → 1 (min = 1)</t>
  </si>
  <si>
    <t>Default = 1; '+' sonrası 2; '−' sonrası 1; 1-də '−' deaktivdir və ya dəyər 0-a enmir.</t>
  </si>
  <si>
    <t>Default miqdar 1; '+' → 2; '−' → 1; 1-də aşağı enmir.</t>
  </si>
  <si>
    <t>A2 — sərhəd</t>
  </si>
  <si>
    <t>BR-06, BR-15</t>
  </si>
  <si>
    <t>Test datası icra zamanı seçilir: 'Mövcuddur' filtrli siyahıdan ilk iPhone. Miqdar 1-də '−' düyməsinin deaktiv olduğu yoxlanır</t>
  </si>
  <si>
    <t>TC_PDP_BVA_007</t>
  </si>
  <si>
    <t>Miqdarın yuxarı həddi stok/limitlə məhdudlaşır</t>
  </si>
  <si>
    <t>1. Stokda olan məhsulun səhifəsini aç
2. Miqdarın '+' düyməsini ardıcıl 20 dəfə bas
3. Miqdarın dayandığı dəyəri və göstərilən mesajı qeyd et</t>
  </si>
  <si>
    <t>Müəyyən həddən sonra miqdar artmır və istifadəçiyə bildirilir; və ya limit yoxdursa, səbətdə stokdan artıq sifariş qarşısı alınır.</t>
  </si>
  <si>
    <t>Miqdar mövcud stok sayına qədər artır; həddə çatanda altda mövcud miqdar barədə mesaj göstərilir (BR-15 təsdiqləndi).</t>
  </si>
  <si>
    <t>M5 — limit tələbdə göstərilməyib, əvvəl müşahidə və biznes təsdiqi lazımdır</t>
  </si>
  <si>
    <t>TC_PDP_POS_008</t>
  </si>
  <si>
    <t>Qoruma proqramı seçimi göstərilən məbləğə təsir edir</t>
  </si>
  <si>
    <t>1. Stokda olan iPhone məhsul səhifəsini aç
2. Göstərilən yekun məbləği qeyd et
3. '+1 il zədələrə qarşı qorunma' seçimini bas
4. Seçimin işarələndiyini və məbləği qeyd et
5. 'Əlavə proqram olmadan' seçimini bas
6. Seçimin dəyişdiyini və məbləği qeyd et</t>
  </si>
  <si>
    <t>Proqram qiyməti icra zamanı oxunur (04.10: 362 ₼)</t>
  </si>
  <si>
    <t>Proqram seçiləndə seçim vizual işarələnir və yekun məbləğ (göstərilirsə) proqram qiyməti qədər artır; ləğv ediləndə ilkin vəziyyətə qayıdır.</t>
  </si>
  <si>
    <t>Gözlənilən nəticəyə uyğundur: proqram seçildikdə işarələnir, 'Əlavə proqram olmadan' seçildikdə seçim ləğv olunur və ilkin vəziyyət bərpa olunur (10.10 təkrar yoxlama).</t>
  </si>
  <si>
    <t>PDP-dəki yekun məbləğ (aşağı panel) = qiymət + proqram; ləğvdən sonra ilkin məbləğ</t>
  </si>
  <si>
    <t>TC_PDP_POS_009</t>
  </si>
  <si>
    <t>'1 kliklə al' formasında səhv formatlı telefon nömrəsi yazıldıqda sahənin altında xəta mesajı göstərilir (göndərmədən)</t>
  </si>
  <si>
    <t>1. Stokda olan məhsulun səhifəsini aç
2. '1 kliklə al' düyməsini bas — forma açılır
3. Sahələri boş saxla və formanın təsdiq düyməsini bas
4. Hər sahənin altındakı mesajı oxu
5. Telefon sahəsinə '123' yaz və təsdiq düyməsini bas
6. Göstərilən mesajı oxu
7. Formanı 'X' ilə bağla — sorğu GÖNDƏRİLMİR</t>
  </si>
  <si>
    <t>Boş; telefon '123'</t>
  </si>
  <si>
    <t>Telefon sahəsinin altında nömrənin yanlış olduğu barədə aydın mesaj göstərilir; forma göndərilmir.</t>
  </si>
  <si>
    <t>Gözlənilən nəticəyə uyğundur: səhv formatlı telefon nömrəsində sahəyə aid 'telefon nömrəsi yanlışdır' mesajı göstərilir; forma göndərilmədi (10.10 təkrar yoxlama).</t>
  </si>
  <si>
    <t>M2 — submit real sifariş yaradır</t>
  </si>
  <si>
    <t>TC_PDP_POS_010</t>
  </si>
  <si>
    <t>Variant (yaddaş və rəng) seçildikdən sonra səhifə yeniləndikdə seçilmiş variant, URL və qiymət saxlanılır</t>
  </si>
  <si>
    <t>1. https://ispace.az/product/iphone-18-pro-256-gb-black-mjrp4af-a ünvanını aç
2. Yaddaş seçimində '512 GB' bas
3. Rəng seçimində 'Qara'dan fərqli rəng bas
4. URL-i, adı, seçili yaddaşı, rəngi və qiyməti qeyd et
5. Brauzerin 'Yenilə' düyməsini (F5) bas
6. 'Mağazanın yüklənməsi' yazısı yox olana qədər gözlə
7. URL-i, adı, seçili yaddaşı, rəngi və qiyməti 4-cü addımdakı dəyərlərlə müqayisə et</t>
  </si>
  <si>
    <t>Başlanğıc: iPhone 18 Pro, 256 GB, Qara (https://ispace.az/product/iphone-18-pro-256-gb-black-mjrp4af-a); seçim: 512 GB + başqa rəng</t>
  </si>
  <si>
    <t>Yeniləmədən sonra URL, ad, seçili yaddaş və rəng, qiymət yeniləmədən əvvəlki ilə eynidir; səhifə ilkin variantına (256 GB, Qara) qayıtmır.</t>
  </si>
  <si>
    <t>512 GB və başqa rəng seçilib səhifə yeniləndikdən sonra URL, ad, seçili yaddaş və rəng, qiymət dəyişmədi; səhifə ilkin variantına qayıtmadı (11.10 icrası).</t>
  </si>
  <si>
    <t>A2 — deterministik: URL, ad və seçili variant yoxlanılır</t>
  </si>
  <si>
    <t>TC_PDP_POS_011</t>
  </si>
  <si>
    <t>Stokda olmayan məhsul alına bilmir</t>
  </si>
  <si>
    <t>1. Test datasındakı stokda olmayan məhsulun səhifəsini aç
2. 'Səbətə' və '1 kliklə al' düymələrinin olub-olmadığını yoxla
3. Göstərilən düymənin mətnini qeyd et
4. Miqdar seçimini və çatdırılma blokunu yoxla</t>
  </si>
  <si>
    <t>https://ispace.az/product/iphone-16e-128-gb-black-md1q4hx-a (icra günü stokda olmadığını yoxla)</t>
  </si>
  <si>
    <t>'Səbətə' və '1 kliklə al' yoxdur; 'Mövcud olduqda bildirin' düyməsi var; miqdar seçimi yoxdur; çatdırılma növləri 'Mövcud deyil' göstərilir.</t>
  </si>
  <si>
    <t>Stokda olmayan məhsulda 'Səbətə' və '1 kliklə al' yoxdur; 'Mövcud deyil' və 'Mövcud olduqda bildirin' göstərilir.</t>
  </si>
  <si>
    <t>A1, A2 — test datası filtrdən icra zamanı götürülür</t>
  </si>
  <si>
    <t>Data: 'Mövcud deyil' siyahısından ilk məhsul; 'Səbətə', '1 kliklə al' və miqdar sahəsi yoxdur, 'Mənə xəbər ver' var</t>
  </si>
  <si>
    <t>TC_PDP_UI_012</t>
  </si>
  <si>
    <t>Stokda olmayan məhsul üçün düymə mətnləri listing və PDP-də eynidir</t>
  </si>
  <si>
    <t>1. https://ispace.az/category/iphone ünvanını aç
2. 'Mövcud deyil' filtrini tətbiq et
3. Bir kartın düyməsinin mətnini qeyd et
4. Həmin karta klik et — məhsul səhifəsi açılır
5. Məhsul səhifəsindəki düymənin mətnini kartdakı ilə müqayisə et</t>
  </si>
  <si>
    <t>Eyni hərəkət üçün eyni mətn işlədilir.</t>
  </si>
  <si>
    <t>Stokda olmayan məhsulların bir qismində 'Ön sifariş', bir qismində 'Mənə xəbər ver' göstərilir. Hansı vəziyyətin hansı düyməni göstərdiyi biznesdən təsdiqlənməlidir.</t>
  </si>
  <si>
    <t>M1 — terminologiya qiymətləndirməsi</t>
  </si>
  <si>
    <t>TC_FIN_POS_001</t>
  </si>
  <si>
    <t>'Bütün proqramlara baxın' 'Taksitlə alış' pəncərəsini PDP-dəki məhsulla açır</t>
  </si>
  <si>
    <t>Ümumi ön şərt (P0): Chrome son versiya, inkognito pəncərə, 1920×1080, AZ dili, login olmadan; iPhone 18 Pro, 256 GB, Qara PDP-si açıqdır (3 589 ₼; icra günü stokda olduğunu yoxla)</t>
  </si>
  <si>
    <t>1. Qiymətin altındakı 'Bütün proqramlara baxın' linkinə klik et — 'Taksitlə alış' pəncərəsi açılır
2. Pəncərənin başlığını oxu
3. Pəncərədəki məhsul adını, Seriya/Yaddaş/Rəngi, miqdarı və qiyməti məhsul səhifəsi ilə müqayisə et
4. Qoruma blokunun, müddət düymələrinin, tərəfdaşların, 'Ödəmək', 'Almaq' və 'Taksitlə davam et' düymələrinin göstərildiyini yoxla</t>
  </si>
  <si>
    <t>Pəncərənin quruluşu (08.10 ekran görüntüsü): məhsul (ad, Seriya/Yaddaş/Rəng), miqdar (− 1 +), qiymət; 'Bütün risklərdən qorunma' (+1 il zədələrə qarşı qorunma 538 ₼ / Əlavə proqram olmadan); 'Zəmanət'; 'Taksit kartları' müddət düymələri (3/6/9/12/18 ay); tərəfdaşlar ('UCard' / Unibank, Leobank) — 'A ₼ × N ödəniş' və 'Ümumi ödəniş məbləği'; 'Ödəmək'; 'Almaq' və 'Taksitlə davam et' düymələri.</t>
  </si>
  <si>
    <t>1. 'Taksitlə alış' başlıqlı pəncərə açılır.
2. Ad, variant, miqdar (1) və qiymət (3 589 ₼) PDP ilə eynidir.
3. Qoruma bloku, 'Taksit kartları' müddətləri, ən azı 1 tərəfdaş, 'Ödəmək', 'Almaq' və 'Taksitlə davam et' göstərilir.</t>
  </si>
  <si>
    <t>Pəncərə 'Taksitlə alış' başlığı ilə açılır; məhsul, variant, miqdar 1 və 3 589 ₼ PDP ilə eynidir; qoruma bloku, müddətlər, tərəfdaşlar, 'Ödəmək', 'Almaq' və 'Taksitlə davam et' göstərilir.</t>
  </si>
  <si>
    <t>A1 — taksit qərarının giriş nöqtəsi</t>
  </si>
  <si>
    <t>BR-17</t>
  </si>
  <si>
    <t>Pəncərədəki ad və qiymət PDP ilə eynidir; 'Almaq' / 'Taksitlə davam et' yalnız görünürlük yoxlanır, kliklənmir</t>
  </si>
  <si>
    <t>TC_FIN_POS_002</t>
  </si>
  <si>
    <t>PDP-dəki aylıq ödəniş pəncərədəki müddət və tərəfdaş məbləği ilə eynidir</t>
  </si>
  <si>
    <t>1. Məhsul səhifəsində qiymətin altındakı aylıq məbləği və ay sayını qeyd et
2. Qiymətin altındakı 'Bütün proqramlara baxın' linkinə klik et — 'Taksitlə alış' pəncərəsi açılır
3. Həmin ay sayının düyməsini və tərəfdaşların aylıq məbləğini oxu
4. Qeyd etdiyin məbləğlə müqayisə et
5. iPhone 17, 256 GB məhsul səhifəsində 1–4-cü addımları təkrarla</t>
  </si>
  <si>
    <t>iPhone 18 Pro: PDP '199 ₼/ay 18 ay' → pəncərə '18 ay 199 ₼'. iPhone 17: 24 ay və 18 ay təklifləri</t>
  </si>
  <si>
    <t>PDP-dəki hər 'məbləğ + müddət' pəncərədə eyni məbləğlə mövcuddur. PDP-də göstərilən müddətin (məs. 24 ay) pəncərədə düyməsi var.</t>
  </si>
  <si>
    <t>Məhsul səhifəsindəki '199 ₼/ay 18 ay' pəncərədə '18 ay — 199 ₼' ilə eynidir; iPhone 17 üçün göstərilən müddətlərin də pəncərədə düyməsi var.</t>
  </si>
  <si>
    <t>Java: PDP-dəki 'X ₼/ay N aya' mətnindən N ay düyməsi tapılır və basılır; pəncərədə aylıq məbləğ X olmalıdır</t>
  </si>
  <si>
    <t>TC_FIN_POS_003</t>
  </si>
  <si>
    <t>Hər tərəfdaş üçün 'aylıq × ödəniş sayı' 'Ümumi ödəniş məbləği'nə bərabərdir</t>
  </si>
  <si>
    <t>Ümumi ön şərt (P0): Chrome son versiya, inkognito pəncərə, 1920×1080, AZ dili, login olmadan; iPhone 18 Pro, 256 GB, Qara PDP-si açıqdır (3 589 ₼; icra günü stokda olduğunu yoxla); 'Bütün proqramlara baxın' → 'Taksitlə alış' pəncərəsi açılıb</t>
  </si>
  <si>
    <t>1. Pəncərədə '18 ay' düyməsini bas
2. Hər tərəfdaş üçün 'A ₼ × N ödəniş' və 'Ümumi ödəniş məbləği'ni qeyd et
3. Hər tərəfdaş üçün A × N hesabla və 'Ümumi ödəniş məbləği' ilə müqayisə et
4. '3 ay', '6 ay', '9 ay', '12 ay' üçün 1–3-cü addımları təkrarla</t>
  </si>
  <si>
    <t>Gözlənilən hesab: UCard 199 × 18 = 3 582; Leobank 217 × 18 = 3 906</t>
  </si>
  <si>
    <t>Hər tərəfdaş və hər müddət üçün A × N = 'Ümumi ödəniş məbləği'. Əgər son ödəniş fərqlidirsə, bu, pəncərədə açıq göstərilir (məs. '17 × 199 ₼ + 1 × 206 ₼').</t>
  </si>
  <si>
    <t>08.10 ekran görüntüsü (iPhone 18 Pro 256 GB Qara, 3 589 ₼, '18 ay'): UCard/Unibank — '199 ₼ × 18 ödəniş', 'Ümumi ödəniş məbləği 3 589 ₼', amma 199 × 18 = 3 582 ₼ (−7 ₼). Leobank — '217 ₼ × 18 ödəniş', ümumi 3 912 ₼, amma 217 × 18 = 3 906 ₼ (−6 ₼). Pəncərənin göstərdiyi aylıq məbləğ və ödəniş sayı ümumi məbləği vermir; son ödənişin fərqli olduğu göstərilmir. 3/6/9/12 ay üçün yoxlama davam edir.</t>
  </si>
  <si>
    <t>A1, A2 — pəncərənin öz rəqəmləri bir-birini təsdiqləməlidir</t>
  </si>
  <si>
    <t>BUG-017</t>
  </si>
  <si>
    <t>BR-08, BR-17</t>
  </si>
  <si>
    <t>Avtomatlaşdırılıb — FAIL (BUG-017, gözlənilən), 16.10.2026</t>
  </si>
  <si>
    <t>Tag: known-bug. 12.10-da da FAIL: UCard 199 × 18 = 3 582 ≠ 3 589; Leobank 217 × 18 = 3 906 ≠ 3 912. Yalnız məlumat pəncərəsi açılır, 'Almaq' / 'Taksitlə davam et' kliklənmir</t>
  </si>
  <si>
    <t>TC_FIN_POS_004</t>
  </si>
  <si>
    <t>0% tərəfdaşda ümumi məbləğ qiymətə bərabərdir, faizlidə əlavə xərc görünür</t>
  </si>
  <si>
    <t>1. Pəncərədə '18 ay' düyməsini bas
2. Hər tərəfdaşın 'Ümumi ödəniş məbləği'ni qeyd et
3. Hər məbləği məhsulun qiyməti (3 589 ₼) ilə müqayisə et
4. Fərqi və faizini hesabla
5. Pəncərədə faizin və ya əlavə xərcin yazılıb-yazılmadığına bax</t>
  </si>
  <si>
    <t>08.10: UCard 3 589 ₼ (0%); Leobank 3 912 ₼ → +323 ₼ (+9,0%)</t>
  </si>
  <si>
    <t>Qiymətə bərabər olan proqram 0% kimi qəbul edilir. Qiymətdən baha olan proqramda ümumi məbləğ göstərilir və istifadəçi əlavə xərci (323 ₼) aydın görür. Proqram '0%' kimi təqdim olunub ümumi məbləği qiymətdən çoxdursa — bug.</t>
  </si>
  <si>
    <t>18 ay: UCard ümumi ödəniş = 3 589 ₼ (qiymət, 0%); Leobank ümumi 3 912 ₼ açıq göstərilir — əlavə xərc (323 ₼) istifadəçiyə görünür.</t>
  </si>
  <si>
    <t>18 ay: 'Ödəmək' = qiymət (0%); heç bir tərəfdaşın ümumi ödəniş məbləği qiymətdən az deyil</t>
  </si>
  <si>
    <t>TC_FIN_BVA_005</t>
  </si>
  <si>
    <t>Bütün müddət düymələrində aylıq məbləğ yuvarlaqlaşdırması ardıcıldır</t>
  </si>
  <si>
    <t>1. Pəncərədə hər müddət düyməsindəki (3, 6, 9, 12, 18 ay) məbləği qeyd et
2. Hər müddət üçün 3 589 / ay sayını hesabla və göstərilən məbləğlə müqayisə et
3. Hər müddət düyməsini bas və 'Ümumi ödəniş məbləği'ni qeyd et
4. Hər müddət üçün 'aylıq × ay sayı'nı 'Ümumi ödəniş məbləği' ilə müqayisə et</t>
  </si>
  <si>
    <t>Məhsul: iPhone 18 Pro, 256 GB, Qara — qiyməti 3 589 ₼ (https://ispace.az/product/iphone-18-pro-256-gb-black-mjrp4af-a). Hesab: 3 589 / 3 = 1 196,33 → 1 196 (×3 = 3 588); / 6 = 598,17 → 598 (3 588); / 9 = 398,78 → 399 (3 591); / 12 = 299,08 → 299 (3 588); / 18 = 199,39 → 199 (3 582)</t>
  </si>
  <si>
    <t>Yuvarlaqlaşdırma bütün müddətlərdə eyni qaydadır və ümumi məbləğ bütün 0% müddətlərdə 3 589 ₼-dır. 9 ayda müştəri 3 591 ₼ (qiymətdən çox) ödəyəcək kimi görünmür.</t>
  </si>
  <si>
    <t>10.10 ekran görüntüsü (iPhone 18 Pro 3 589 ₼, zəmanət 'Əlavə proqram olmadan', '3 ay', UCard və Tamkart): düymələr 3 ay 1 196 / 6 ay 598 / 9 ay 399 / 12 ay 299 / 18 ay 199 ₼. Yuvarlaqlaşdırma qaydası ardıcıldır: hamısı ən yaxın tam manata (1 196,33 → 1 196; 398,78 → 399) — bu hissə uyğundur. Amma A × N heç bir müddətdə 3 589 vermir: 3 ay 1 196 × 3 = 3 588 (−1); 6 ay 3 588 (−1); 9 ay 399 × 9 = 3 591 (+2, qiymətdən çox); 12 ay 3 588 (−1); 18 ay 3 582 (−7). 3 ayda pəncərədə 'Ümumi ödəniş məbləği' və 'Ödəmək' 3 589 ₼ göstərilir, yəni ümumi məbləğ düzgündür, aylıq ödəniş isə qəpiksiz yuvarlaqlaşdırılıb və son ödənişin fərqli olacağı göstərilmir. Fərq müddətdən asılı olaraq həm mənfi, həm müsbət olur. 6/9/12 ay üçün ümumi məbləğ pəncərədə ayrıca yoxlanmalıdır.</t>
  </si>
  <si>
    <t>M5 — yuvarlaqlaşdırma qaydası biznesdən təsdiqlənməlidir</t>
  </si>
  <si>
    <t>TC_FIN_BVA_006</t>
  </si>
  <si>
    <t>iPhone keyslərindən ən ucuzunda (9 ₼) taksitin aylıq məbləği × ay sayı məhsulun qiymətindən çox olmur</t>
  </si>
  <si>
    <t>1. https://ispace.az/accessories-for-iphone ünvanını aç
2. 'Keyslər' bölməsinə keç
3. Sıralama siyahısından 'Aşağı qiymət' seç
4. Ən ucuz keysin şəklinə klik et və qiymətini (Q) qeyd et
5. Qiymətin altındakı 'Bütün proqramlara baxın' linkinə klik et — 'Taksitlə alış' pəncərəsi açılır
6. '18 ay' düyməsini bas
7. 'A ₼ × N ödəniş' və 'Ümumi ödəniş məbləği'ni qeyd et
8. A × N-i hesabla və Q ilə müqayisə et</t>
  </si>
  <si>
    <t>iPhone üçün aksesuarlar → Keyslər, 'Aşağı qiymət' ilə ən ucuz keys: Q = 9 ₼ (10.10)</t>
  </si>
  <si>
    <t>Aylıq məbləğ qəpiklə göstərilir (9 / 18 = 0,50 ₼) və ya bu qədər ucuz məhsula taksit təklif olunmur; A × N məhsulun qiymətindən (9 ₼) çox deyil.</t>
  </si>
  <si>
    <t>iPhone üçün aksesuarlardan 'Keyslər' bölməsinə keçildi və 'Aşağı qiymət' ilə ən ucuz keys seçildi — qiyməti 9 ₼. 'Bütün proqramlara baxın' açıldıqda 18 aya qədər taksit '1 ₼-dan' göstərilir: 1 ₼ × 18 = 18 ₼, keysin qiyməti isə 9 ₼ — müştəriyə göstərilən aylıq ödəniş qiymətin 2 mislini verir (aylıq 0,50 ₼ olmalı idi). (10.10 icrası)</t>
  </si>
  <si>
    <t>A2 — test datası sıralamadan icra zamanı götürülür</t>
  </si>
  <si>
    <t>BUG-016</t>
  </si>
  <si>
    <t>Avtomatlaşdırılıb — FAIL (BUG-016, gözlənilən), 16.10.2026</t>
  </si>
  <si>
    <t>Tag: known-bug. Data: aksesuarlar 'Aşağı qiymət' + 'Mövcuddur', ilk məhsul (≤ 20 ₼), ən uzun müddət. 16.10-da FAIL: 1 ₼ × 18 = 18 ≠ 9 ₼ (BUG-016)</t>
  </si>
  <si>
    <t>TC_FIN_EDGE_007</t>
  </si>
  <si>
    <t>Müddət düyməsindəki məbləğin hansı tərəfdaşa aid olduğu aydındır</t>
  </si>
  <si>
    <t>Edge Case · UI</t>
  </si>
  <si>
    <t>1. Pəncərədə '18 ay' düyməsindəki məbləği qeyd et
2. Tərəfdaşların aylıq məbləğlərini oxu və düymədəki məbləğin hansına aid olduğunu müəyyən et
3. 'Leobank' radio düyməsini seç
4. '18 ay' düyməsindəki məbləğə yenidən bax</t>
  </si>
  <si>
    <t>iPhone 18 Pro, 256 GB, Qara — https://ispace.az/product/iphone-18-pro-256-gb-black-mjrp4af-a</t>
  </si>
  <si>
    <t>Düymədəki məbləğ ya seçilmiş tərəfdaşa uyğun yenilənir, ya da '-dan' kimi minimum məbləğ olduğu yazılır. Leobank seçili ikən düymədə izahsız 199 ₼ qalması — uyğunsuzluq.</t>
  </si>
  <si>
    <t>'18 ay' düyməsində 199 ₼ göstərilir (UCard-ın aylıq məbləği). Leobank seçildikdə 'Taksit kartları' hissəsindəki '18 ay' düyməsində məbləğ dəyişmir, 199 ₼ qalır; Leobank-ın öz sətrində isə '217 ₼ × 18 ödəniş' yazılıb (10.10 icrası).</t>
  </si>
  <si>
    <t>BUG-029</t>
  </si>
  <si>
    <t>TC_FIN_EDGE_008</t>
  </si>
  <si>
    <t>Endirimli məhsulun taksit pəncərəsində hər müddət üçün 'aylıq × ay sayı' endirimli qiymətə bərabərdir</t>
  </si>
  <si>
    <t>1. https://ispace.az/category/extra-deals ünvanını aç
2. Üstündən xətt çəkilmiş köhnə qiyməti (K) olan məhsulu seç — test datası
3. Yeni (endirimli) qiyməti (Y) qeyd et
4. 'Səbətə' bas
5. Header-in sağındakı səbət ikonuna klik et və 'Səbətimə baxın' bas — https://ispace.az/cart açılır
6. Səbətdə 'Bütün proqramlara baxın' linkinə klik et
7. Pəncərədə 3, 6, 9, 12 və 18 ay düymələrini ardıcıl bas və hər birində aylıq məbləği (A) qeyd et
8. Hər müddət üçün A × ay sayını hesabla və Y ilə müqayisə et</t>
  </si>
  <si>
    <t>Ev audio sistemi BANG &amp; OLUFSEN Beosound A9, Gen.5, Black Anthracite — endirimli qiymət Y = 5 999 ₼ (https://ispace.az/product/home-audio-system-bang-olufsen-beosound-a9-5th-gen-black-anthracite-1200632)</t>
  </si>
  <si>
    <t>Pəncərə endirimli qiyməti (5 999 ₼) istifadə edir və hər müddətdə aylıq × ay sayı = 5 999 ₼; fərq varsa (məs. son ödəniş fərqlidir), bu pəncərədə yazılır.</t>
  </si>
  <si>
    <t>Pəncərə endirimli qiyməti (5 999 ₼) istifadə edir, amma heç bir müddətdə aylıq × ay sayı 5 999 ₼ deyil: 3 ay — 2 000 × 3 = 6 000 (1 ₼ çox); 6 ay — 1 000 × 6 = 6 000 (1 ₼ çox); 9 ay — 667 × 9 = 6 003 (4 ₼ çox); 12 ay — 500 × 12 = 6 000 (1 ₼ çox); 18 ay — 333 × 18 = 5 994 (5 ₼ az). Son ödənişin fərqli olacağı pəncərədə yazılmır (10.10 icrası).</t>
  </si>
  <si>
    <t>M3 — endirimli məhsullar kampaniyaya görə dəyişir</t>
  </si>
  <si>
    <t>TC_FIN_POS_009</t>
  </si>
  <si>
    <t>Müddət düyməsi dəyişdikdə tərəfdaş məbləğləri və 'Ödəmək' yenilənir</t>
  </si>
  <si>
    <t>1. Pəncərədə '18 ay' seçili ikən tərəfdaş məbləğlərini və 'Ödəmək'i qeyd et
2. '3 ay' düyməsini bas və dəyərləri qeyd et
3. '12 ay' düyməsini bas və dəyərləri qeyd et
4. Yenidən '18 ay' bas və dəyərləri ilkin dəyərlərlə müqayisə et</t>
  </si>
  <si>
    <t>Gözlənilən: 3 ay ≈ 1 196 ₼, 12 ay ≈ 299 ₼</t>
  </si>
  <si>
    <t>Hər keçiddə seçili düymə vurğulanır; tərəfdaş məbləğləri və ödəniş sayı ('× N ödəniş') yeni müddətə uyğun yenilənir; həmin müddəti dəstəkləməyən tərəfdaş gizlənir və ya deaktivdir; '18 ay'a qayıdanda ilkin dəyərlər bərpa olunur.</t>
  </si>
  <si>
    <t>Müddət düymələri arasında keçiddə seçili düymə vurğulanır, tərəfdaş məbləğləri və ödəniş sayı yeni müddətə uyğun yenilənir; 18 aya qayıdanda ilkin dəyərlər bərpa olunur.</t>
  </si>
  <si>
    <t>18 ay → 12 ay → 18 ay: ödəniş sayı və aylıq məbləğ dəyişir, 18-ə qayıdanda ilkin məbləğ bərpa olunur</t>
  </si>
  <si>
    <t>TC_FIN_POS_010</t>
  </si>
  <si>
    <t>Tərəfdaş dəyişdikdə 'Ödəmək' və seçim məlumatı uyğun dəyişir</t>
  </si>
  <si>
    <t>1. Pəncərədə '18 ay' bas
2. 'UCard' seçili ikən 'Ödəmək' dəyərini qeyd et
3. 'Leobank' radio düyməsini seç
4. 'Ödəmək' dəyərinə və radio düymələrinin vəziyyətinə bax</t>
  </si>
  <si>
    <t>UCard ümumi 3 589 ₼; Leobank ümumi 3 912 ₼</t>
  </si>
  <si>
    <t>Yalnız bir tərəfdaş seçili olur. 'Ödəmək' ya seçilmiş proqramın ümumi məbləğini (3 912 ₼) göstərir, ya da açıq şəkildə 'məhsulun qiyməti' kimi işarələnir. Leobank seçildikdə 3 589 ₼-ın işarəsiz qalması müştərini çaşdırır.</t>
  </si>
  <si>
    <t>Tərəfdaş dəyişdikdə yalnız bir radio seçili olur; 'Ödəmək' və seçim məlumatı gözlənilən nəticəyə uyğundur.</t>
  </si>
  <si>
    <t>M5 — 'Ödəmək' sahəsinin mənası tələbdə yoxdur</t>
  </si>
  <si>
    <t>TC_FIN_POS_011</t>
  </si>
  <si>
    <t>Variant dəyişdikdə pəncərədə köhnə qiymətin məbləğləri qalmır</t>
  </si>
  <si>
    <t>1. Qiymətin altındakı 'Bütün proqramlara baxın' linkinə klik et — 'Taksitlə alış' pəncərəsi açılır
2. '18 ay' məbləğini qeyd et
3. Pəncərəni 'X' ilə bağla
4. Məhsul səhifəsində 'Yaddaş' seçimində '512 GB' bas (səhifəni yeniləmə)
5. Pəncərəni yenidən aç
6. Ad, qiymət və '18 ay' məbləğini yoxla</t>
  </si>
  <si>
    <t>256 GB → 512 GB (04.10: 4 129 ₼ → 18 ay ≈ 229 ₼)</t>
  </si>
  <si>
    <t>Pəncərədə ad '512 GB', qiymət və bütün taksit məbləğləri yeni qiymətə görədir; 256 GB-ın dəyərləri keşdə qalmır.</t>
  </si>
  <si>
    <t>512 GB seçildikdən sonra pəncərədə ad, qiymət və taksit məbləğləri yeni variantadır; köhnə dəyərlər qalmır.</t>
  </si>
  <si>
    <t>A1, A2 — keş regression-u</t>
  </si>
  <si>
    <t>TC_FIN_POS_012</t>
  </si>
  <si>
    <t>Pəncərədə qoruma proqramı seçimi 'Ödəmək' və taksit məbləğlərini yeniləyir, ləğv bərpa edir</t>
  </si>
  <si>
    <t>1. Pəncərədə '+1 il zədələrə qarşı qorunma' seç
2. 'Ödəmək'i və '18 ay' məbləğlərini qeyd et
3. 'Əlavə proqram olmadan' seç
4. 'Ödəmək'i və '18 ay' məbləğlərini yenidən qeyd et</t>
  </si>
  <si>
    <t>3 589 + 538 = 4 127 ₼; 4 127 / 18 = 229,28 ≈ 229 ₼</t>
  </si>
  <si>
    <t>Seçimdən sonra 'Ödəmək' = 4 127 ₼ və taksit məbləğləri yeni bazaya görə hesablanır (18 ay ≈ 229 ₼). 'Əlavə proqram olmadan' seçiləndə dəyərlər 3 589 ₼ və 199 ₼-a qayıdır — səhifəni yeniləmək lazım olmur.</t>
  </si>
  <si>
    <t>Qoruma proqramı seçildikdə 'Ödəmək' və taksit məbləğləri yeni bazaya görə yenilənir; 'Əlavə proqram olmadan' seçildikdə ilkin dəyərlər bərpa olunur (səhifəni yeniləmək lazım olmur).</t>
  </si>
  <si>
    <t>A1, A2 — pul hesablaması; BUG-002 ilə əlaqəli</t>
  </si>
  <si>
    <t>Pəncərədə proqram seçiləndə 'Ödəmək' və ümumi məbləğ = qiymət + proqram, aylıq məbləğ dəyişir; ləğvdən sonra ilkin dəyərlər qayıdır</t>
  </si>
  <si>
    <t>TC_FIN_BVA_013</t>
  </si>
  <si>
    <t>Pəncərədəki miqdar dəyişdikdə qiymət və taksitlər yenilənir</t>
  </si>
  <si>
    <t>1. Pəncərədə miqdar 1 ikən '−' düyməsinin vəziyyətinə bax
2. '+' düyməsini bas (miqdar 2)
3. Qiyməti, 'Ödəmək'i və '18 ay' məbləğlərini qeyd et
4. '−' düyməsini bas (miqdar 1)
5. Dəyərlərin ilkin vəziyyətə qayıtdığını yoxla</t>
  </si>
  <si>
    <t>2 × 3 589 = 7 178 ₼; 7 178 / 18 = 398,78 ≈ 399 ₼</t>
  </si>
  <si>
    <t>1-də '−' deaktivdir. Miqdar 2-də qiymət/Ödəmək 7 178 ₼, 18 ay ≈ 399 ₼ (və hər tərəfdaşda A × N = ümumi). 1-ə qaytaranda ilkin dəyərlər bərpa olunur.</t>
  </si>
  <si>
    <t>Miqdar 1-də '−' deaktivdir; 2-də qiymət, 'Ödəmək' və taksitlər iki qat hesablanır; 1-ə qaytaranda ilkin dəyərlər bərpa olunur.</t>
  </si>
  <si>
    <t>BR-15</t>
  </si>
  <si>
    <t>Pəncərədə miqdar 1 → 2 → 1: qiymət, 'Ödəmək' və ümumi məbləğ × 2; 1-də '−' deaktivdir</t>
  </si>
  <si>
    <t>TC_FIN_EDGE_014</t>
  </si>
  <si>
    <t>Pəncərədə edilən seçimlər 'Almaq' ilə səbətə eynilə ötürülür, 'X' ilə heç nə dəyişmir</t>
  </si>
  <si>
    <t>Ümumi ön şərt (P0): Chrome son versiya, inkognito pəncərə, 1920×1080, AZ dili, login olmadan; səbət boşdur; iPhone 18 Pro, 256 GB, Qara PDP-si açıqdır (3 589 ₼; icra günü stokda olduğunu yoxla); 'Bütün proqramlara baxın' → 'Taksitlə alış' pəncərəsi açılıb</t>
  </si>
  <si>
    <t>1. Pəncərədə miqdarı '+' ilə 2 et
2. '+1 il zədələrə qarşı qorunma' seç
3. Pəncərəni 'X' ilə bağla
4. Header-in sağındakı səbət ikonuna klik et və 'Səbətimə baxın' bas — https://ispace.az/cart açılır və məzmununa bax
5. Məhsul səhifəsinə qayıt və pəncərəni yenidən aç
6. Miqdarı 2 et və qoruma proqramını seç
7. 'Almaq' düyməsini bas
8. Header-in sağındakı səbət ikonuna klik et və 'Səbətimə baxın' bas — https://ispace.az/cart açılır
9. Səbətin məzmununu və 'Cəmi'ni pəncərədəki 'Ödəmək' ilə müqayisə et</t>
  </si>
  <si>
    <t>'X'dan sonra səbət boş qalır (pəncərədəki seçimlər gizli əlavə olunmur). 'Almaq'dan sonra səbətdə iPhone 18 Pro × 2 + qoruma proqramı var və cəm pəncərədəki 'Ödəmək' ilə eynidir.</t>
  </si>
  <si>
    <t>M5 — 'Almaq' davranışı əvvəl müşahidə edilməlidir</t>
  </si>
  <si>
    <t>BR-07</t>
  </si>
  <si>
    <t>TC_FIN_EDGE_015</t>
  </si>
  <si>
    <t>Taksit pəncərəsi bağlandıqda və 'Geri' basıldıqda məhsul səhifəsi ilkin vəziyyətdə qalır</t>
  </si>
  <si>
    <t>1. Qiymətin altındakı 'Bütün proqramlara baxın' linkinə klik et — 'Taksitlə alış' pəncərəsi açılır
2. Brauzerin 'Geri' düyməsini bas və səhifəyə bax
3. Məhsul səhifəsinə qayıt və pəncərəni yenidən aç
4. Pəncərəni 'X' ilə bağla
5. Səhifəni aşağı sürüşdür
6. 'Səbətə' düyməsini bas</t>
  </si>
  <si>
    <t>'Geri' pəncərəni bağlayır və ya əvvəlki səhifəyə təmiz qayıdır (qaranlıq fon qalmır). Bağlandıqdan sonra səhifə sürüşür, düymələr işləyir.</t>
  </si>
  <si>
    <t>'Geri' pəncərəni təmiz bağlayır, qaranlıq fon qalmır; bağlandıqdan sonra səhifə sürüşür və düymələr işləyir.</t>
  </si>
  <si>
    <t>TC_FIN_POS_016</t>
  </si>
  <si>
    <t>Səbətdən açılan taksit pəncərəsində məhsul qiymətləri və 'Ödəmək' səbətdəki qiymətlər və 'Cəmi' ilə eynidir</t>
  </si>
  <si>
    <t>Ümumi ön şərt (P0); səbətdə 2 fərqli məhsul var (məs. iPhone 18 Pro 256 GB Qara + AirPods 4)</t>
  </si>
  <si>
    <t>1. Header-in sağındakı səbət ikonuna klik et və 'Səbətimə baxın' bas — https://ispace.az/cart açılır
2. Hər sətrin qiymətini və 'Cəmi'ni qeyd et
3. Səbətdə 'Bütün proqramlara baxın' linkinə klik et
4. Pəncərədəki məhsul qiymətlərini və 'Ödəmək'i qeyd et
5. Qeyd etdiyin dəyərləri müqayisə et</t>
  </si>
  <si>
    <t>Məs. 3 589 + 2 409 = 5 998 ₼</t>
  </si>
  <si>
    <t>Pəncərədəki hər məhsulun qiyməti və 'Ödəmək' səbət səhifəsindəki qiymətlər və 'Cəmi' ilə eynidir; fərq varsa, səbəbi pəncərədə yazılır.</t>
  </si>
  <si>
    <t>Səbətdə AirPods 4 — 246 ₼, 'Cəmi' — 3 835 ₼; həmin səbətdən açılan pəncərədə AirPods 4 — 289 ₼, 'Ödəmək' — 3 878 ₼. Eyni səbət üçün iki fərqli cəm göstərilir (fərq 43 ₼), səbəbi yazılmır (10.10 ekran görüntüləri).</t>
  </si>
  <si>
    <t>BUG-024</t>
  </si>
  <si>
    <t>BR-07, BR-17</t>
  </si>
  <si>
    <t>Manual regression (prod riski)</t>
  </si>
  <si>
    <t>Manual regression — prod-da avtomatlaşdırılmır: səbətdəki 'Maliyyə prosesinə başlamaq' real maliyyə müraciəti axınıdır</t>
  </si>
  <si>
    <t>TC_CART_POS_001</t>
  </si>
  <si>
    <t>Məhsul PDP-dən səbətə əlavə olunur</t>
  </si>
  <si>
    <t>Ümumi ön şərt (P0): Chrome son versiya, inkognito pəncərə, 1920×1080, AZ dili, login olmadan; səbət boşdur</t>
  </si>
  <si>
    <t>1. Stokda olan məhsulun səhifəsini aç; adı, variantı və qiyməti qeyd et
2. 'Səbətə' düyməsini bas
3. Açılan bildirişə / mini-səbətə bax
4. Header-dəki səbət nişanındakı rəqəmi oxu
5. Header-in sağındakı səbət ikonuna klik et və 'Səbətimə baxın' bas — https://ispace.az/cart açılır
6. Sətirdəki ad, variant, qiymət, miqdar və 'Cəmi'ni yoxla</t>
  </si>
  <si>
    <t>1. Uğurlu əlavə bildirişi/mini-səbət göstərilir.
2. Sayğac 1-dir.
3. Səbətdə 1 sətir: ad, variant, qiymət PDP ilə eyni, miqdar 1.
4. Cəm = qiymət.</t>
  </si>
  <si>
    <t>PDP-dən əlavə: bildiriş göstərildi, sayğac 1, səbətdə 1 sətir, ad/variant/qiymət PDP ilə eyni, cəm = qiymət.</t>
  </si>
  <si>
    <t>A1 — gəlir axınının əsası</t>
  </si>
  <si>
    <t>BR-01, BR-07</t>
  </si>
  <si>
    <t>Test datası icra zamanı seçilir: 'Mövcuddur' filtrli siyahıdan ilk məhsul (concept: '&lt;url&gt; siyahısından stokda olan ilk məhsulu aç'); ad və qiymət ${dəyişən} ilə müqayisə olunur</t>
  </si>
  <si>
    <t>TC_CART_POS_002</t>
  </si>
  <si>
    <t>Məhsul listing kartından birbaşa səbətə əlavə olunur</t>
  </si>
  <si>
    <t>1. https://ispace.az/category/iphone ünvanını aç
2. 'Səbətə' düyməsi olan kartın adını və qiymətini qeyd et
3. Həmin kartda 'Səbətə' bas
4. Header-in sağındakı səbət ikonuna klik et və 'Səbətimə baxın' bas — https://ispace.az/cart açılır
5. Sətirdəki ad, qiymət və miqdarı yoxla</t>
  </si>
  <si>
    <t>Səbətdə həmin məhsul, kartdakı qiymətlə, miqdar 1.</t>
  </si>
  <si>
    <t>Listing kartından əlavə edilən məhsul səbətdə kartdakı qiymətlə, miqdar 1 ilə göstərilir.</t>
  </si>
  <si>
    <t>Listing kartındakı 'Səbətə' (stokdakı ilk iPhone); səbətdə ad, qiymət və miqdar 1 kartla eynidir</t>
  </si>
  <si>
    <t>TC_CART_POS_003</t>
  </si>
  <si>
    <t>Eyni məhsul iki dəfə əlavə edildikdə bir sətirdə miqdar 2 və sətir cəmi = qiymət × 2 olur</t>
  </si>
  <si>
    <t>1. Stokda olan məhsulun səhifəsini aç və qiymətini (Q) qeyd et
2. 'Səbətə' bas
3. Bildirişi bağla və 'Səbətə' düyməsini yenidən bas
4. Header-in sağındakı səbət ikonuna klik et və 'Səbətimə baxın' bas — https://ispace.az/cart açılır
5. Sətir sayını, miqdarı, sətir cəmini və header nişanını yoxla</t>
  </si>
  <si>
    <t>Məhsul bir sətirdə miqdar 2 ilə göstərilir; cəm = 2 × qiymət; sayğac 2.</t>
  </si>
  <si>
    <t>Eyni məhsul iki dəfə əlavə edildikdə bir sətirdə miqdar 2 ilə birləşir; cəm = 2 × qiymət (BR-07 təsdiqləndi).</t>
  </si>
  <si>
    <t>Test datası icra zamanı seçilir: 'Mövcuddur' filtrli siyahıdan ilk məhsul (concept: '&lt;url&gt; siyahısından stokda olan ilk məhsulu aç'); ad və qiymət ${dəyişən} ilə müqayisə olunur; Java addımı: sətir cəmi = qiymət × 2</t>
  </si>
  <si>
    <t>TC_CART_POS_004</t>
  </si>
  <si>
    <t>İki fərqli məhsul olduqda 'Cəmi' sətir məbləğlərinin cəminə bərabərdir</t>
  </si>
  <si>
    <t>1. Məhsul A-nın səhifəsini aç, qiymətini (QA) qeyd et və 'Səbətə' bas
2. Məhsul B-nin səhifəsini aç, qiymətini (QB) qeyd et və 'Səbətə' bas
3. Header-in sağındakı səbət ikonuna klik et və 'Səbətimə baxın' bas — https://ispace.az/cart açılır
4. Sətir sayını, 'Cəmi'ni və header nişanını yoxla</t>
  </si>
  <si>
    <t>A, B — stokda olan iki fərqli məhsul</t>
  </si>
  <si>
    <t>2 sətir; cəm = QA + QB; sayğac 2.</t>
  </si>
  <si>
    <t>İki fərqli məhsul: 2 sətir, cəm = QA + QB, sayğac 2.</t>
  </si>
  <si>
    <t>A1, A2 — pul hesablaması</t>
  </si>
  <si>
    <t>Data icra zamanı seçilir: stokdakı ilk iPhone + stokdakı ilk AirPods; Java: sətirlərin cəmi = Cəmi</t>
  </si>
  <si>
    <t>TC_CART_POS_005</t>
  </si>
  <si>
    <t>Səbətdə miqdar dəyişəndə sətir və ümumi cəm yenilənir</t>
  </si>
  <si>
    <t>Ümumi ön şərt (P0); səbətdə 1 məhsul var (qiymət Q, miqdar 1)</t>
  </si>
  <si>
    <t>1. Header-in sağındakı səbət ikonuna klik et və 'Səbətimə baxın' bas — https://ispace.az/cart açılır
2. Məhsul sətrində '+' düyməsini 2 dəfə bas (miqdar 3)
3. Sətir cəmini, 'Cəmi'ni və header nişanını qeyd et
4. '−' düyməsini bas (miqdar 2)
5. Sətir cəmini, 'Cəmi'ni və header nişanını qeyd et</t>
  </si>
  <si>
    <t>Miqdar 3 → cəm 3Q; miqdar 2 → cəm 2Q; header sayğacı müvafiq dəyişir; səhifəni yeniləmədən yenilənir.</t>
  </si>
  <si>
    <t>Miqdar 3 → cəm 3Q; miqdar 2 → cəm 2Q; sayğac yeniləmə olmadan dəyişir.</t>
  </si>
  <si>
    <t>Data: stokdakı ilk AirPods (icra zamanı seçilir); miqdar 1 → 2 → 3 → 2, hər addımda sətir cəmi, Cəmi və sayğac</t>
  </si>
  <si>
    <t>TC_CART_BVA_006</t>
  </si>
  <si>
    <t>Səbətdə miqdar 1-dən aşağı enmir</t>
  </si>
  <si>
    <t>Ümumi ön şərt (P0); səbətdə 1 məhsul var (miqdar 1)</t>
  </si>
  <si>
    <t>1. Header-in sağındakı səbət ikonuna klik et və 'Səbətimə baxın' bas — https://ispace.az/cart açılır
2. Miqdarı 1 olan sətirdə '−' düyməsinin vəziyyətinə bax
3. '−' düyməsini bas
4. Miqdara və göstərilən mesaja bax</t>
  </si>
  <si>
    <t>Miqdar 1 qalır ('−' deaktiv) və ya məhsulun silinməsi üçün təsdiq istənilir; miqdar 0 və ya mənfi göstərilmir.</t>
  </si>
  <si>
    <t>Miqdar 1-də '−' ilə 0-a enmir.</t>
  </si>
  <si>
    <t>Data: stokdakı ilk AirPods; səbətdə miqdar 1-də '−' deaktivdir</t>
  </si>
  <si>
    <t>TC_CART_POS_007</t>
  </si>
  <si>
    <t>Məhsul səbətdən silinir</t>
  </si>
  <si>
    <t>Ümumi ön şərt (P0); səbətdə 2 fərqli məhsul var</t>
  </si>
  <si>
    <t>1. Header-in sağındakı səbət ikonuna klik et və 'Səbətimə baxın' bas — https://ispace.az/cart açılır
2. Birinci məhsulun sətrindəki silmə (zibil qabı) ikonuna bas
3. Qalan sətirləri, 'Cəmi'ni və header nişanını yoxla</t>
  </si>
  <si>
    <t>Sətir yox olur; cəm = qalan məhsulun qiyməti; sayğac 1.</t>
  </si>
  <si>
    <t>Silinən sətir yox oldu; cəm qalan məhsulun qiymətinə bərabərdir; sayğac 1.</t>
  </si>
  <si>
    <t>Ön şərt concept: 'Səbətə iki fərqli məhsul əlavə et və səbəti aç' (stokdakı ilk iPhone + ilk AirPods)</t>
  </si>
  <si>
    <t>TC_CART_POS_008</t>
  </si>
  <si>
    <t>Sonuncu məhsul silinəndə boş səbət vəziyyəti göstərilir</t>
  </si>
  <si>
    <t>Ümumi ön şərt (P0); səbətdə yalnız 1 məhsul var</t>
  </si>
  <si>
    <t>1. Header-in sağındakı səbət ikonuna klik et və 'Səbətimə baxın' bas — https://ispace.az/cart açılır
2. Yeganə məhsulun silmə ikonuna bas
3. Səhifədə göstərilən mesaja, linkə, header nişanına və checkout düyməsinə bax</t>
  </si>
  <si>
    <t>Boş səbət mesajı və alış-verişə qayıtmaq linki göstərilir; sayğac 0 və ya gizlidir; checkout düyməsi yoxdur/deaktivdir.</t>
  </si>
  <si>
    <t>Sonuncu məhsul silindikdə boş səbət vəziyyəti göstərildi; checkout düyməsi yoxdur.</t>
  </si>
  <si>
    <t>Sonuncu məhsul silinir: 'Səbətiniz boşdur' göstərilir</t>
  </si>
  <si>
    <t>TC_CART_POS_009</t>
  </si>
  <si>
    <t>Qoruma proqramı ilə əlavə edilən məhsulda proqram ayrıca sətir kimi göstərilir və cəmə daxil olur</t>
  </si>
  <si>
    <t>1. iPhone məhsul səhifəsini aç
2. '+1 il zədələrə qarşı qorunma' seç və proqramın qiymətini (P) qeyd et
3. 'Səbətə' bas
4. Header-in sağındakı səbət ikonuna klik et və 'Səbətimə baxın' bas — https://ispace.az/cart açılır
5. Proqram sətrinə və 'Cəmi'yə bax</t>
  </si>
  <si>
    <t>Proqram qiyməti P (icra zamanı oxunur)</t>
  </si>
  <si>
    <t>Proqram səbətdə göstərilir; cəm = məhsulun qiyməti + P.</t>
  </si>
  <si>
    <t>Qoruma proqramı səbətdə seçili qalır və cəmə daxil olur. Amma 16.10 avtomat icrada: PDP-də '+1 il zədələrə qarşı qorunma' 539 ₼, səbətdə 538 ₼; Cəmi 4 127 ₼ = 3 589 + 538 (PDP-dəki qiymətlə 4 128 olmalı idi) — BUG-032.</t>
  </si>
  <si>
    <t>A2 — pul hesablaması</t>
  </si>
  <si>
    <t>BUG-032</t>
  </si>
  <si>
    <t>Avtomatlaşdırılıb — FAIL (BUG-032, gözlənilən), 16.10.2026</t>
  </si>
  <si>
    <t>Tag: known-bug. 16.10: PDP-də proqram 539 ₼, səbətdə 538 ₼ (Cəmi 4 127 = 3 589 + 538) — BUG-032</t>
  </si>
  <si>
    <t>TC_CART_POS_010</t>
  </si>
  <si>
    <t>Səbət səhifə yenilənəndə və yeni tabda qorunur</t>
  </si>
  <si>
    <t>Ümumi ön şərt (P0); səbətdə 1 məhsul var</t>
  </si>
  <si>
    <t>1. Header-in sağındakı səbət ikonuna klik et və 'Səbətimə baxın' bas — https://ispace.az/cart açılır
2. Məzmunu, miqdarı və 'Cəmi'ni qeyd et
3. F5 ilə səhifəni yenilə və müqayisə et
4. Yeni tab aç, https://ispace.az/cart ünvanını aç və müqayisə et</t>
  </si>
  <si>
    <t>Hər iki halda səbətin məzmunu, miqdar və cəm dəyişmir.</t>
  </si>
  <si>
    <t>Səbət səhifə yenilənəndə və yeni tabda qorunur.</t>
  </si>
  <si>
    <t>BR-07, BR-10</t>
  </si>
  <si>
    <t>Data: stokdakı ilk AirPods (icra zamanı seçilir); ad, miqdar və Cəmi F5-dən sonra və yeni tabda müqayisə olunur</t>
  </si>
  <si>
    <t>TC_CART_POS_011</t>
  </si>
  <si>
    <t>Dil dəyişəndə səbətin məzmunu qorunur</t>
  </si>
  <si>
    <t>1. Header-in sağındakı səbət ikonuna klik et və 'Səbətimə baxın' bas — https://ispace.az/cart açılır
2. Məzmunu və 'Cəmi'ni qeyd et
3. Header-dəki dil seçimindən 'English' seç
4. Səbətin məzmununu və cəmini müqayisə et
5. Dili 'Azərbaycan' et və yenidən müqayisə et</t>
  </si>
  <si>
    <t>Məhsul, miqdar və cəm eynidir; yalnız mətnlər dilə görə dəyişir.</t>
  </si>
  <si>
    <t>EN dilinə keçdikdə və AZ-a qayıtdıqda məhsul, miqdar və cəm dəyişmir.</t>
  </si>
  <si>
    <t>TC_CART_POS_012</t>
  </si>
  <si>
    <t>Səbətdən checkout-a keçiddə məhsullar, qiymətlər və cəm eynilə ötürülür</t>
  </si>
  <si>
    <t>Ümumi ön şərt (P0): Chrome son versiya, inkognito pəncərə, 1920×1080, AZ dili, login olmadan; səbətdə iPhone 18 Pro, 256 GB, Qara (3 589 ₼) + Qulaqlıqlar APPLE AirPods 4, Ağ (listing: 349 ₼ üstündən xətt, 289 ₼, '−15% VİSA' nişanı); TƏHLÜKƏSİZLİK: 'Mən razıyam şəxsi məlumatların işlənməsinə…' checkbox-u HEÇ VAXT işarələnmir və bütün məcburi sahələr eyni anda düzgün doldurulmur — real sifariş yaranmamalıdır</t>
  </si>
  <si>
    <t>1. Header-in sağındakı səbət ikonuna klik et və 'Səbətimə baxın' bas — https://ispace.az/cart açılır
2. Hər sətrin adını, variantını, miqdarını, qiymətini və 'Cəmi'ni qeyd et
3. 'Sifarişi rəsmiləşdirmək' bas
4. Checkout xülasəsindəki sətirləri, qiymətləri, 'Cəmi • N məhsul' və 'Ödəmək'i qeyd etdiyin dəyərlərlə müqayisə et
5. HEÇ NƏ GÖNDƏRMƏ — səhifəni bağla</t>
  </si>
  <si>
    <t>10.10 ekran görüntüləri: səbət — iPhone 3 589 ₼ ('ya Ayda 199 ₼-dan, 18 ay'), AirPods 4 '349 ₼' xətli → 246 ₼ ('ya Ayda 16 ₼-dan, 18 ay'), Cəmi 3 835 ₼, alt blok '215 ₼/ay üçün 18 ay' və 'Tam ödəmək 3 835 ₼'. Checkout: Cəmi • 2 məhsul 3 835 ₼, Çatdırılma Ödənişsiz, Ödəmək 3 835 ₼, ödəniş üsulu default 'Apple Pay vasitəsilə Visa ilə ödənişdə –15%'.</t>
  </si>
  <si>
    <t>Checkout-da eyni sətirlər (ad + variant + miqdar nişanı), eyni qiymətlər (xətli köhnə qiymət daxil), 'Cəmi • 2 məhsul' = səbətin 'Cəmi' (3 835 ₼), 'Ödəmək' = Cəmi + çatdırılma. SİFARİŞ GÖNDƏRİLMİR.</t>
  </si>
  <si>
    <t>A1, A2 — checkout səhifəsi göndərmədən açılır və oxunur</t>
  </si>
  <si>
    <t>Manual regression — prod-da avtomatlaşdırılmır: checkout-a keçid real sifariş axınına girir</t>
  </si>
  <si>
    <t>TC_CART_EDGE_013</t>
  </si>
  <si>
    <t>İki tabda eyni səbət dəyişdirildikdə yeniləmədən sonra hər iki tab son vəziyyəti göstərir</t>
  </si>
  <si>
    <t>1. Header-in sağındakı səbət ikonuna klik et və 'Səbətimə baxın' bas — https://ispace.az/cart açılır (Tab A)
2. Səbəti yeni tabda da aç (Tab B)
3. Tab A-da miqdarı '+' ilə 3 et
4. Tab B-də (yeniləmədən) '+' bas
5. Hər iki tabı F5 ilə yenilə
6. Hər iki tabda miqdarı, 'Cəmi'ni və header nişanını müqayisə et</t>
  </si>
  <si>
    <t>Yeniləmədən sonra hər iki tab eyni miqdarı və cəmi göstərir; miqdar məntiqlidir (4 və ya Tab B-nin əməliyyatı rədd edilib bildirilir); header sayğacı sətirlərlə uyğundur.</t>
  </si>
  <si>
    <t>Tab B-də miqdar 2 edildi; hər iki tab yeniləndikdən sonra 2 göstərir — son yazılan dəyər qəbul olunur, vəziyyət iki tabda ardıcıldır.</t>
  </si>
  <si>
    <t>M3 — eyni anda dəyişiklik</t>
  </si>
  <si>
    <t>BR-07, BR-15</t>
  </si>
  <si>
    <t>TC_CART_EDGE_014</t>
  </si>
  <si>
    <t>Miqdar düyməsinə tez-tez klikdə sayğac, sətir və cəm uyğun qalır</t>
  </si>
  <si>
    <t>Ümumi ön şərt (P0); səbətdə 1 məhsul var (qiymət Q)</t>
  </si>
  <si>
    <t>1. Header-in sağındakı səbət ikonuna klik et və 'Səbətimə baxın' bas — https://ispace.az/cart açılır
2. Məhsul sətrində '+' düyməsinə 1 saniyə ərzində 5 dəfə klik et
3. Miqdarı, sətir cəmini və header nişanını qeyd et
4. F5 ilə səhifəni yenilə
5. Miqdarı, sətir cəmini və header nişanını yenidən qeyd et və müqayisə et</t>
  </si>
  <si>
    <t>Yeniləmədən əvvəl və sonra miqdar eynidir; cəm = miqdar × Q; header sayğacı = miqdar.</t>
  </si>
  <si>
    <t>Tez kliklərdən sonra yeniləmədən əvvəl və sonra miqdar, cəm və sayğac uyğundur. Qeyd: '+' kliklərinə gecikmə ilə reaksiya verir — OBS-06.</t>
  </si>
  <si>
    <t>M3</t>
  </si>
  <si>
    <t>TC_CART_EDGE_015</t>
  </si>
  <si>
    <t>Silinmiş məhsul brauzerin 'Geri' düyməsindən sonra qayıtmır</t>
  </si>
  <si>
    <t>1. Header-in sağındakı səbət ikonuna klik et və 'Səbətimə baxın' bas — https://ispace.az/cart açılır
2. Bir məhsulun silmə ikonuna bas
3. Qalan məhsulun adına klik et — məhsul səhifəsi açılır
4. Brauzerin 'Geri' düyməsini bas
5. Silinmiş məhsulun göründüyünü yoxla
6. F5 ilə yenilə və yenidən yoxla</t>
  </si>
  <si>
    <t>Silinmiş məhsul nə keşlənmiş görünüşdə, nə yeniləmədən sonra görünür; sayğac 1.</t>
  </si>
  <si>
    <t>Silinmiş məhsul 'Geri' və yeniləmədən sonra görünmür; sayğac 1.</t>
  </si>
  <si>
    <t>TC_CART_EDGE_016</t>
  </si>
  <si>
    <t>Eyni modelin fərqli variantları ayrı sətirlərdə saxlanılır</t>
  </si>
  <si>
    <t>1. https://ispace.az/product/iphone-17-256-gb-lavender-mg6m4af-a ünvanını aç və 'Səbətə' bas
2. 'Rəng' seçimində 'Black' bas və 'Səbətə' bas
3. 'Yaddaş' seçimində '512 GB' bas və 'Səbətə' bas
4. Header-in sağındakı səbət ikonuna klik et və 'Səbətimə baxın' bas — https://ispace.az/cart açılır
5. Sətir sayını, hər sətrin variantını, qiymətini və 'Cəmi'ni yoxla</t>
  </si>
  <si>
    <t>3 fərqli məhsul kodu</t>
  </si>
  <si>
    <t>3 ayrı sətir, hər birində öz məhsul kodu/rəng/yaddaş və qiyməti; cəm 3 qiymətin cəmidir.</t>
  </si>
  <si>
    <t>Üç variant ayrı sətirlərdə öz məhsul kodu, rəng/yaddaş və qiyməti ilə göstərilir; cəm düzgündür.</t>
  </si>
  <si>
    <t>Stokdakı ilk 3 iPhone: 3 sətir, sayğac 3, sətirlərin cəmi = Cəmi</t>
  </si>
  <si>
    <t>TC_CART_POS_017</t>
  </si>
  <si>
    <t>Səbət sətrində şəkil, ad, variant, qiymət və miqdar göstərilir, klik eyni variantın PDP-sini açır</t>
  </si>
  <si>
    <t>Ümumi ön şərt (P0): Chrome son versiya, inkognito pəncərə, 1920×1080, AZ dili, login olmadan; səbət boşdur (yeni inkognito pəncərə)</t>
  </si>
  <si>
    <t>1. iPhone 17, 512 GB, Sage məhsul səhifəsini aç və məhsul kodunu qeyd et
2. 'Səbətə' bas
3. Header-in sağındakı səbət ikonuna klik et və 'Səbətimə baxın' bas — https://ispace.az/cart açılır
4. Sətirdə şəkil, ad, yaddaş, rəng, vahid qiymət, miqdar və sətir cəmini yoxla
5. Sətirdə məhsulun adına klik et
6. Açılan səhifənin URL-ini və məhsul kodunu qeyd etdiyinlə müqayisə et</t>
  </si>
  <si>
    <t>Variant seçimi məqsədli olaraq default deyil (512 GB, Sage)</t>
  </si>
  <si>
    <t>Sətirdə şəkil, ad, '512 GB', 'Sage', vahid qiymət, miqdar və sətir cəmi göstərilir. Klik eyni variantın PDP-sini açır (URL və məhsul kodu eynidir), default variant (256 GB) açılmır.</t>
  </si>
  <si>
    <t>TC_CART_EDGE_018</t>
  </si>
  <si>
    <t>Endirimli məhsul səbətdə endirimli qiymətlə hesablanır</t>
  </si>
  <si>
    <t>1. https://ispace.az/category/extra-deals ünvanını aç
2. Endirimli məhsulun köhnə (K) və yeni (Y) qiymətini qeyd et
3. 'Səbətə' bas
4. Header-in sağındakı səbət ikonuna klik et və 'Səbətimə baxın' bas — https://ispace.az/cart açılır
5. Sətirdəki qiyməti və 'Cəmi'ni yoxla
6. Miqdarı '+' ilə 2 et
7. Sətir cəmini, endirim sətrini (varsa) və 'Cəmi'ni yoxla</t>
  </si>
  <si>
    <t>Sətirdə yeni qiymət (Y) və üstündən xətt çəkilmiş köhnə qiymət (K) göstərilir; sətir cəmi və 'Cəmi' Y əsasındadır (2 ədəddə 2 × Y).</t>
  </si>
  <si>
    <t>BR-07, BR-19</t>
  </si>
  <si>
    <t>TC_CART_EDGE_019</t>
  </si>
  <si>
    <t>Məhsul silinəndə ona bağlı qoruma proqramı sətri də silinir</t>
  </si>
  <si>
    <t>1. iPhone məhsul səhifəsində '+1 il zədələrə qarşı qorunma' seç və 'Səbətə' bas
2. Header-in sağındakı səbət ikonuna klik et və 'Səbətimə baxın' bas — https://ispace.az/cart açılır
3. Məhsul və proqram sətirlərinə bax
4. Məhsul sətrinin silmə ikonuna bas
5. F5 ilə yenilə
6. Proqram sətrinin qalıb-qalmadığını və 'Cəmi'ni yoxla</t>
  </si>
  <si>
    <t>Məhsul silindikdə proqram da silinir (və ya silinməsi təklif olunur); cihazsız 'yetim' qoruma proqramı səbətdə qalmır və ödənilə bilmir; cəm 0 ₼, boş səbət göstərilir.</t>
  </si>
  <si>
    <t>A2 — deterministik vəziyyət keçidi</t>
  </si>
  <si>
    <t>Proqramlı məhsul silinir; F5-dən sonra səbət boşdur, proqram sətri və Cəmi qalmır</t>
  </si>
  <si>
    <t>TC_CART_EDGE_020</t>
  </si>
  <si>
    <t>Qoruma proqramlı məhsulun miqdarı artanda proqram miqdarı da uyğunlaşır</t>
  </si>
  <si>
    <t>Ümumi ön şərt (P0); səbətdə qoruma proqramı ilə əlavə edilmiş 1 iPhone var (proqram qiyməti P)</t>
  </si>
  <si>
    <t>1. Header-in sağındakı səbət ikonuna klik et və 'Səbətimə baxın' bas — https://ispace.az/cart açılır
2. Proqramlı iPhone sətrində '+' bas (miqdar 2)
3. Proqram sətrinin miqdarını, qiymətini və 'Cəmi'ni oxu
4. '−' bas (miqdar 1)
5. Dəyərlərə yenidən bax</t>
  </si>
  <si>
    <t>P icra zamanı oxunur (iPhone 18 Pro: 538 ₼)</t>
  </si>
  <si>
    <t>Qayda ardıcıldır və görünür: ya proqram da 2 ədəd olur (2·P), ya da '1 proqram 1 cihaz üçün' yazılır. 2 cihaz + 1 proqram izahsız qalarsa — müştəri hər iki cihazın qorunduğunu düşünür.</t>
  </si>
  <si>
    <t>Qoruma proqramlı iPhone-un miqdarı 2 edildikdə proqram da 2 cihaz üçün tətbiq olunur — qayda ardıcıl və görünəndir.</t>
  </si>
  <si>
    <t>M5 — biznes qaydası məlum deyil</t>
  </si>
  <si>
    <t>TC_CART_EDGE_021</t>
  </si>
  <si>
    <t>Mini-səbətdə eyni modelin fərqli variantları ayırd edilir</t>
  </si>
  <si>
    <t>1. iPhone 18 Pro, 256 GB, Qara məhsul səhifəsində 'Səbətə' bas
2. iPhone 18 Pro, 512 GB, Gümüş məhsul səhifəsində 'Səbətə' bas
3. Açılan mini-səbətdə ('Əşyalar səbətə əlavə edildi') hər sətrin adını oxu
4. Sətirlərdə yaddaş və rəngin göstərildiyini yoxla</t>
  </si>
  <si>
    <t>10.10 ekran görüntüsü: mini-səbətdə yalnız 'iPhone 18 Pro' yazılır (yaddaş və rəng yoxdur)</t>
  </si>
  <si>
    <t>Mini-səbətdə hər sətrin variantı (yaddaş, rəng) görünür; istifadəçi iki sətri qiymətdən başqa da fərqləndirə bilir.</t>
  </si>
  <si>
    <t>Mini-səbətdə hər sətir yaddaş və rəngi ilə göstərilir, eyni modelin iki variantı ayırd edilir (10.10 təkrar yoxlama).</t>
  </si>
  <si>
    <t>TC_CART_EDGE_022</t>
  </si>
  <si>
    <t>Səbətdəki aylıq ödəniş mətnləri və 'X ₼/ay üçün 18 ay' bloku eyni bazaya əsaslanır</t>
  </si>
  <si>
    <t>Ümumi ön şərt (P0): Chrome son versiya, inkognito pəncərə, 1920×1080, AZ dili, login olmadan; səbətdə iPhone 18 Pro, 256 GB, Qara (3 589 ₼) + Qulaqlıqlar APPLE AirPods 4, Ağ (listing: 349 ₼ üstündən xətt, 289 ₼, '−15% VİSA' nişanı)</t>
  </si>
  <si>
    <t>1. Header-in sağındakı səbət ikonuna klik et və 'Səbətimə baxın' bas — https://ispace.az/cart açılır
2. Hər sətirdəki 'ya Ayda X ₼-dan, 18 ay' məbləğini qeyd et
3. Səbətin altındakı '… ₼/ay üçün 18 ay' və 'Tam ödəmək … ₼' dəyərlərini qeyd et
4. Sətir aylıqlarının cəmini, 'Tam ödəmək' / 18-i və endirimsiz cəm / 18-i hesabla
5. Fərqin səbətdə izah olunub-olunmadığını axtar</t>
  </si>
  <si>
    <t>10.10: 199 + 16 = 215 ✔; 3 878 (endirimsiz) / 18 = 215,4 → 215; Tam ödəmək 3 835 / 18 = 213,1. AirPods sətrində qiymət 246 ₼, aylıq 16 ₼ isə 289 ₼-a görədir (246 / 18 = 13,7)</t>
  </si>
  <si>
    <t>Hər qiymətin yanında göstərilən aylıq ödəniş həmin qiymətdən hesablanır və ya fərqli bazanın səbəbi yazılır ('taksitdə Visa endirimi tətbiq olunmur'). 'Tam ödəmək 3 835 ₼' ilə '215 ₼ × 18 = 3 870 ₼' arasındakı fərq istifadəçiyə izah edilir.</t>
  </si>
  <si>
    <t>Səbətdə qiymətlər Visa endirimli göstərilir ('Cəmi' 3 835 ₼, AirPods 246 ₼), '215 ₼ × 18' isə 3 870 ₼ edir; eyni səbətdən açılan taksit pəncərəsində 'Ödəmək' 3 878 ₼. Taksitdə Visa endiriminin tətbiq olunmadığı səbətdə yazılmır — fərq istifadəçiyə izah edilmir (10.10 ekran görüntüləri).</t>
  </si>
  <si>
    <t>M5 — hansı qiymətin hansı ödəniş üçün keçərli olduğu biznes qaydasıdır</t>
  </si>
  <si>
    <t>TC_CART_POS_023</t>
  </si>
  <si>
    <t>Səbətdə qoruma proqramı seçimi Cəmi və taksit blokunu yeniləyir</t>
  </si>
  <si>
    <t>1. Header-in sağındakı səbət ikonuna klik et və 'Səbətimə baxın' bas — https://ispace.az/cart açılır
2. iPhone sətrində 'Məhsulunuzu qoruyun' bölməsində '+1 il zədələrə qarşı qorunma' seç
3. 'Cəmi', 'Tam ödəmək' və '… ₼/ay üçün 18 ay' dəyərlərini qeyd et
4. 'Əlavə proqram olmadan' seç
5. Dəyərləri yenidən qeyd et və müqayisə et</t>
  </si>
  <si>
    <t>3 835 + 538 = 4 373 ₼; taksit (3 878 + 538) / 18 = 245,3 ≈ 245 ₼</t>
  </si>
  <si>
    <t>Seçimdən sonra Cəmi və Tam ödəmək = 4 373 ₼, taksit ≈ 245 ₼/ay; ləğvdən sonra 3 835 ₼ və 215 ₼ bərpa olunur; header nişanı və sətir sayı məntiqli dəyişir.</t>
  </si>
  <si>
    <t>Ön şərt concept: stokdakı ilk iPhone + ilk AirPods. Proqram seçiləndə Cəmi və 'Tam ödəmək' = əvvəlki + proqram, taksit mətni dəyişir; ləğv bərpa edir</t>
  </si>
  <si>
    <t>TC_CART_EDGE_024</t>
  </si>
  <si>
    <t>Səbətdəki çatdırılma/mağaza seçimi checkout-a ötürülür</t>
  </si>
  <si>
    <t>1. Header-in sağındakı səbət ikonuna klik et və 'Səbətimə baxın' bas — https://ispace.az/cart açılır
2. iPhone sətrinin altındakı 'Özün götürmə' blokunda mağazanı qeyd et
3. 'Çatdırılma' seçiminə klik et və nəticəni qeyd et
4. 'Sifarişi rəsmiləşdirmək' bas
5. Checkout-un 'Çatdırılma' bölməsində seçili növü və mağazanı oxu
6. HEÇ NƏ GÖNDƏRMƏ — səhifəni bağla</t>
  </si>
  <si>
    <t>10.10: səbətdə 'Özün götürmə — Gənclik Mall', checkout-da default 'Kuryer ilə çatdırılma'</t>
  </si>
  <si>
    <t>Səbətdə edilən seçim checkout-da qorunur (və ya səbətdəki blok yalnız məlumat xarakterlidirsə, bu aydın görünür). Səbətdə 'Özün götürmə' seçib checkout-da default 'Kuryer' görmək — ziddiyyət.</t>
  </si>
  <si>
    <t>TC_CART_EDGE_025</t>
  </si>
  <si>
    <t>Header sayğacının mənası (ədəd və ya sətir) ardıcıldır</t>
  </si>
  <si>
    <t>1. Məhsul A-nın səhifəsində miqdarı 3 et və 'Səbətə' bas
2. Məhsul B-nin səhifəsində 'Səbətə' bas
3. Header-dəki səbət nişanının rəqəmini qeyd et
4. Mini-səbətdəki və https://ispace.az/cart səhifəsindəki saylarla müqayisə et
5. Səbətdə A-nın miqdarını 1 et
6. Header nişanına yenidən bax</t>
  </si>
  <si>
    <t>Sayğac bütün yerlərdə eyni qaydaya əsaslanır (ya ümumi ədəd, ya sətir sayı) və miqdar dəyişəndə dərhal yenilənir.</t>
  </si>
  <si>
    <t>Sayğac bütün yerlərdə eyni qaydaya əsaslanır və miqdar dəyişəndə dərhal yenilənir.</t>
  </si>
  <si>
    <t>M5 — qayda tələbdə yoxdur</t>
  </si>
  <si>
    <t>BR-07, BR-11</t>
  </si>
  <si>
    <t>TC_CART_BVA_026</t>
  </si>
  <si>
    <t>Səbətdə miqdar sahəsinə 0, -1, 1.5, hərf və 999 yazıldıqda etibarsız miqdar qəbul edilmir</t>
  </si>
  <si>
    <t>Ümumi ön şərt (P0); səbətdə 1 məhsul var (stok həddi H)</t>
  </si>
  <si>
    <t>1. Header-in sağındakı səbət ikonuna klik et və 'Səbətimə baxın' bas — https://ispace.az/cart açılır
2. Miqdar sahəsinə klik et və əl ilə yazmağın mümkün olduğunu yoxla
3. Test datasındakı hər dəyəri ardıcıl yaz və Enter bas (və ya sahədən çıx)
4. Hər dəfə miqdara, sətir cəminə və header nişanına bax</t>
  </si>
  <si>
    <t>0; -1; 1.5; abc; boş; H; H + 1; 999 (H — stok həddi, BR-15 mesajından)</t>
  </si>
  <si>
    <t>0, -1, 1.5, abc, boş qəbul edilmir (əvvəlki dəyər bərpa olunur və ya mesaj göstərilir); H qəbul olunur; H+1 və 999 H-a endirilir və bildirilir. Cəm heç vaxt NaN, 0 və ya mənfi olmur. Sahə yazıla bilmirsə — case Pass, qeyd edilir.</t>
  </si>
  <si>
    <t>Miqdar sahəsi əl ilə yazılır: hərflər yazılmır; 0, -1 və 1.5 müvəqqəti yazılır, sahədən çıxdıqda etibarlı dəyər avtomatik bərpa olunur; 999 yazıldıqda stok sayına endirilir. Cəm heç vaxt etibarsız dəyər göstərmir.</t>
  </si>
  <si>
    <t>M5 — sahənin davranışı əvvəl müşahidə edilməlidir</t>
  </si>
  <si>
    <t>TC_CART_EDGE_027</t>
  </si>
  <si>
    <t>'Ön sifariş' və stokdakı məhsul eyni səbətə əlavə edildikdə ön sifariş sətri ayrıca işarələnir</t>
  </si>
  <si>
    <t>1. 'Ön sifariş' düyməli məhsulun səhifəsində 'Ön sifariş' bas
2. Stokda olan adi məhsulun səhifəsində 'Səbətə' bas
3. Header-in sağındakı səbət ikonuna klik et və 'Səbətimə baxın' bas — https://ispace.az/cart açılır
4. Hər sətrin statusuna və çatdırılma qeydinə bax
5. Səhifədə xəbərdarlıq olub-olmadığını yoxla (checkout-a GÖNDƏRMƏ)</t>
  </si>
  <si>
    <t>Ön sifariş sətri ayrıca işarələnir (təxmini tarix/şərt); qarışıq səbət barədə xəbərdarlıq və ya ayrı sifariş qaydası göstərilir. Hər iki məhsulun eyni anda çatdırılacağı təəssüratı verilmir.</t>
  </si>
  <si>
    <t>'Ön sifariş' və stokdakı məhsul eyni səbətə əlavə olundu; ön sifariş sətrində heç bir qeyd, tarix və ya xəbərdarlıq yoxdur.</t>
  </si>
  <si>
    <t>BUG-027</t>
  </si>
  <si>
    <t>TC_CART_EDGE_028</t>
  </si>
  <si>
    <t>Səbət brauzer bağlanıb açılanda saxlanır, cookie silinəndə təmizlənir</t>
  </si>
  <si>
    <t>Ümumi ön şərt (P0): Chrome son versiya, inkognito pəncərə, 1920×1080, AZ dili, login olmadan, amma ADİ pəncərə (inkognito yox); səbətdə 1 məhsul</t>
  </si>
  <si>
    <t>1. Adi (inkognito olmayan) Chrome pəncərəsində https://ispace.az/cart ünvanını aç və məzmunu qeyd et
2. Brauzeri tam bağla və yenidən aç
3. https://ispace.az/cart ünvanını aç və məzmunu müqayisə et
4. Chrome ayarlarında ispace.az üçün cookie və sayt datasını sil
5. Səhifəni yenilə və səbətə bax
6. İnkognito pəncərədə https://ispace.az/cart ünvanını aç və səbətə bax</t>
  </si>
  <si>
    <t>Brauzer yenidən açılanda səbət qalır; cookie silindikdən sonra səbət boşdur və sayğac 0; inkognito səbəti adi pəncərədən ayrıdır.</t>
  </si>
  <si>
    <t>TC_CART_EDGE_029</t>
  </si>
  <si>
    <t>Mini-səbət ('Əşyalar səbətə əlavə edildi') səbət səhifəsi ilə uyğundur</t>
  </si>
  <si>
    <t>Ümumi ön şərt (P0); səbətdə iPhone 18 Pro, 256 GB, Qara var</t>
  </si>
  <si>
    <t>1. Header menyusundan 'AirPods' kateqoriyasını aç
2. AirPods 4 kartında 'Səbətə' bas
3. Açılan paneldə sətirləri, miqdarları, qiymətləri və 'Səbətimə baxın (N)' sayını qeyd et
4. Header səbət nişanındakı rəqəmlə müqayisə et
5. 'Alış-verişə davam edin' bas
6. Panelin bağlandığını və səhifənin dəyişmədiyini yoxla
7. Header səbət ikonuna klik et və 'Səbətimə baxın (N)' bas
8. Səbət səhifəsini paneldəki məlumatla müqayisə et</t>
  </si>
  <si>
    <t>10.10 ekran görüntüsü: panel — iPhone 18 Pro 3 589 ₼ (1), AirPods 4 246 ₼ (1), 'Səbətimə baxın (2)', header nişanı 2</t>
  </si>
  <si>
    <t>Paneldəki sətirlər, miqdarlar və qiymətlər səbət səhifəsi ilə eynidir; 'Səbətimə baxın (N)' = header nişanı; 'Alış-verişə davam edin' paneli bağlayır; 'Sifarişi rəsmiləşdirmək' /checkout-u açır.</t>
  </si>
  <si>
    <t>TC_CART_UI_030</t>
  </si>
  <si>
    <t>Böyük məbləğlərdə cəmin formatı və düzülüşü pozulmur</t>
  </si>
  <si>
    <t>1. Ən bahalı stokda olan iPhone-un səhifəsini aç
2. Miqdarı 2 et və 'Səbətə' bas
3. Header-in sağındakı səbət ikonuna klik et və 'Səbətimə baxın' bas — https://ispace.az/cart açılır
4. Sətir cəmi, 'Cəmi' və taksit mətnlərinin formatına bax
5. Stok imkan verirsə miqdarı 5 et və yenidən bax</t>
  </si>
  <si>
    <t>7 229 × 2 = 14 458 ₼; × 5 = 36 145 ₼</t>
  </si>
  <si>
    <t>Rəqəmlər '14 458 ₼' formatında, min ayırıcısı ardıcıl; mətn kəsilmir, sütunlar üst-üstə düşmür.</t>
  </si>
  <si>
    <t>TC_CHK_NEG_001</t>
  </si>
  <si>
    <t>Checkout-da səhv formatlı telefon nömrəsi yazıldıqda sahənin altında xəta mesajı göstərilir</t>
  </si>
  <si>
    <t>Ümumi ön şərt (P0): Chrome son versiya, inkognito pəncərə, 1920×1080, AZ dili, login olmadan; səbətdə stokda olan istənilən 1 məhsul var; TƏHLÜKƏSİZLİK: 'Mən razıyam şəxsi məlumatların işlənməsinə…' checkbox-u HEÇ VAXT işarələnmir, bütün məcburi sahələr eyni anda düzgün doldurulmur və 'Sifarişi təsdiqlə' basılmır — real sifariş yaranmamalıdır</t>
  </si>
  <si>
    <t>1. Səbətdə məhsul olduğuna əmin ol: Header-in sağındakı səbət ikonuna klik et və 'Səbətimə baxın' bas — https://ispace.az/cart açılır
2. 'Sifarişi rəsmiləşdirmək' düyməsini bas — https://ispace.az/checkout açılır
3. 'Telefon' sahəsinə test datasındakı birinci dəyəri yaz
4. Sahədən çıx (növbəti sahəyə klik et)
5. Sahənin altındakı mesajı oxu
6. Test datasındakı digər dəyərlər üçün 3–5-ci addımları təkrarla
7. HEÇ NƏ GÖNDƏRMƏ — səhifəni bağla</t>
  </si>
  <si>
    <t>123; abcdefg; 0501234 (az rəqəm)</t>
  </si>
  <si>
    <t>Hər səhv dəyərdə 'Telefon' sahəsinin altında nömrənin yanlış olduğu barədə mesaj göstərilir; sahə qırmızı ilə işarələnir; sifarişi təsdiqləmək mümkün olmur.</t>
  </si>
  <si>
    <t>Səhv formatlı telefon nömrəsi yazıldıqda sahənin altında nömrənin yanlış olduğu barədə bildiriş göstərildi (10.10 icrası). Sifariş göndərilmədi.</t>
  </si>
  <si>
    <t>M2 — checkout prod-da; yalnız göndərmədən manual yoxlanılır</t>
  </si>
  <si>
    <t>BR-20</t>
  </si>
  <si>
    <t>TC_CHK_NEG_002</t>
  </si>
  <si>
    <t>Checkout-da səhv formatlı e-poçt yazıldıqda sahənin altında xəta mesajı göstərilir</t>
  </si>
  <si>
    <t>1. Səbətdə məhsul olduğuna əmin ol: Header-in sağındakı səbət ikonuna klik et və 'Səbətimə baxın' bas — https://ispace.az/cart açılır
2. 'Sifarişi rəsmiləşdirmək' düyməsini bas — https://ispace.az/checkout açılır
3. 'E-poçt' sahəsinə test datasındakı birinci dəyəri yaz
4. Sahədən çıx (növbəti sahəyə klik et)
5. Sahənin altındakı mesajı oxu
6. Test datasındakı digər dəyərlər üçün 3–5-ci addımları təkrarla
7. HEÇ NƏ GÖNDƏRMƏ — səhifəni bağla</t>
  </si>
  <si>
    <t>test@; testmail.com; test@mail</t>
  </si>
  <si>
    <t>Hər səhv dəyərdə 'E-poçt' sahəsinin altında ünvanın yanlış olduğu barədə mesaj göstərilir; sahə qırmızı ilə işarələnir; sifarişi təsdiqləmək mümkün olmur.</t>
  </si>
  <si>
    <t>Səhv formatlı e-poçt yazıldıqda sahənin altında ünvanın yanlış olduğu barədə bildiriş göstərildi (10.10 icrası). Sifariş göndərilmədi.</t>
  </si>
  <si>
    <t>TC_CHK_POS_003</t>
  </si>
  <si>
    <t>300 ₼-dan az səbətdə 'Kuryer ilə çatdırılma' seçildikdə xülasədə çatdırılma haqqı göstərilir və 'Ödəmək'ə əlavə olunur</t>
  </si>
  <si>
    <t>Ümumi ön şərt (P0): Chrome son versiya, inkognito pəncərə, 1920×1080, AZ dili, login olmadan; səbətdə yalnız Qulaqlıqlar APPLE AirPods 4 var (cəmi 300 ₼-dan az); TƏHLÜKƏSİZLİK: 'Mən razıyam şəxsi məlumatların işlənməsinə…' checkbox-u HEÇ VAXT işarələnmir, bütün məcburi sahələr eyni anda düzgün doldurulmur və 'Sifarişi təsdiqlə' basılmır — real sifariş yaranmamalıdır</t>
  </si>
  <si>
    <t>1. Səbətdə yalnız AirPods 4 olduğuna əmin ol: Header-in sağındakı səbət ikonuna klik et və 'Səbətimə baxın' bas — https://ispace.az/cart açılır
2. 'Sifarişi rəsmiləşdirmək' düyməsini bas — https://ispace.az/checkout açılır
3. 'Kuryer ilə çatdırılma' seç
4. Şəhər siyahısından 'Bakı' seç
5. Kuryer bölməsinin altındakı mesajı oxu
6. Sağdakı xülasədə 'Çatdırılma' sətrini və 'Ödəmək'i oxu
7. HEÇ NƏ GÖNDƏRMƏ — səhifəni bağla</t>
  </si>
  <si>
    <t>Səbət: AirPods 4 — 246 ₼ (&lt; 300 ₼); Şəhər: Bakı</t>
  </si>
  <si>
    <t>Xülasənin 'Çatdırılma' sətrində çatdırılma haqqı göstərilir və 'Ödəmək' = 'Cəmi' + çatdırılma haqqı.</t>
  </si>
  <si>
    <t>Kuryer bölməsinin altında 'Sifarişin məbləği 300 AZN-ə qədər olduqda, çatdırılma qiyməti 3 AZN-dən başlayır' mesajı göstərilir, amma sağdakı xülasədə 'Çatdırılma: Ödənişsiz' yazılır və 'Ödəmək' dəyişmir (10.10 icrası). Sifariş göndərilmədi.</t>
  </si>
  <si>
    <t>BUG-030</t>
  </si>
  <si>
    <t>BR-13</t>
  </si>
  <si>
    <t>TC_CHK_POS_004</t>
  </si>
  <si>
    <t>Checkout-dakı kuryer çatdırılma qiyməti 'Çatdırılma və ödəniş' səhifəsindəki Bakı tarifi ilə eynidir</t>
  </si>
  <si>
    <t>1. https://ispace.az/payment-delivery ünvanını aç və Bakı üzrə kuryer tarifini qeyd et
2. Səbətdə yalnız AirPods 4 olduğuna əmin ol: Header-in sağındakı səbət ikonuna klik et və 'Səbətimə baxın' bas — https://ispace.az/cart açılır
3. 'Sifarişi rəsmiləşdirmək' düyməsini bas — https://ispace.az/checkout açılır
4. 'Kuryer ilə çatdırılma' seç
5. Şəhər siyahısından 'Bakı' seç
6. Mesajdakı minimum çatdırılma qiymətini oxu
7. Onu 1-ci addımda qeyd etdiyin tariflə müqayisə et
8. HEÇ NƏ GÖNDƏRMƏ — səhifəni bağla</t>
  </si>
  <si>
    <t>https://ispace.az/payment-delivery — Bakı kuryer tarifi</t>
  </si>
  <si>
    <t>Checkout-dakı mesajda göstərilən minimum çatdırılma qiyməti 'Çatdırılma və ödəniş' səhifəsindəki Bakı tarifi ilə eynidir.</t>
  </si>
  <si>
    <t>Checkout: 'çatdırılma qiyməti 3 AZN-dən başlayır'; 'Çatdırılma və ödəniş' səhifəsi: Bakı üzrə 4–50 ₼ — minimum qiymət uyğun deyil (10.10 icrası). Sifariş göndərilmədi.</t>
  </si>
  <si>
    <t>M4 — tarif ünvandan asılıdır, kənar məlumat</t>
  </si>
  <si>
    <t>BUG-028</t>
  </si>
  <si>
    <t>TC_CHK_NEG_005</t>
  </si>
  <si>
    <t>Checkout-da bütün məcburi sahələr boş ikən təsdiq düyməsi basıldıqda hər boş sahənin altında mesaj göstərilir və sifariş yaranmır</t>
  </si>
  <si>
    <t>Ümumi ön şərt (P0): Chrome son versiya, inkognito pəncərə, 1920×1080, AZ dili, login olmadan; səbətdə istənilən 1 məhsul var; TƏHLÜKƏSİZLİK: bütün sahələr BOŞ qalır və 'Mən razıyam…' checkbox-u işarələnmir — sifariş yaranması mümkün deyil</t>
  </si>
  <si>
    <t>1. Səbətə stokda olan istənilən 1 məhsul əlavə et
2. Header-in sağındakı səbət ikonuna klik et və 'Səbətimə baxın' bas — https://ispace.az/cart açılır
3. 'Sifarişi rəsmiləşdirmək' düyməsini bas — https://ispace.az/checkout açılır
4. Heç bir sahəni doldurma və razılıq checkbox-unu işarələmə
5. Səhifənin altındakı sifarişi təsdiqləmə düyməsini bas
6. Hər məcburi sahənin altındakı mesaja bax
7. Səhifənin dəyişmədiyini və sifariş təsdiqi göstərilmədiyini yoxla</t>
  </si>
  <si>
    <t>Bütün sahələr boş</t>
  </si>
  <si>
    <t>Sifariş yaranmır və səhifə dəyişmir; hər boş məcburi sahə (ad, telefon, e-poçt, ünvan) qırmızı ilə işarələnir və altında nəyin tələb olunduğu yazılır.</t>
  </si>
  <si>
    <t>Bütün sahələr boş ikən təsdiq düyməsi basıldıqda sifariş yaranmadı, səhifə dəyişmədi; hər boş məcburi sahə işarələndi və altında mesaj göstərildi (11.10 icrası). Heç nə göndərilmədi.</t>
  </si>
  <si>
    <t>M2 — checkout prod-da; yalnız boş forma ilə yoxlanılır</t>
  </si>
  <si>
    <t>TC_CHK_POS_006</t>
  </si>
  <si>
    <t>Checkout-da 'Mağazadan götürmə' seçildikdə mağaza seçimi göstərilir və xülasədə çatdırılma haqqı ödənişsiz olur</t>
  </si>
  <si>
    <t>1. Səbətə stokda olan istənilən 1 məhsul əlavə et
2. Header-in sağındakı səbət ikonuna klik et və 'Səbətimə baxın' bas — https://ispace.az/cart açılır
3. 'Sifarişi rəsmiləşdirmək' düyməsini bas — https://ispace.az/checkout açılır
4. Çatdırılma üsulu kimi 'Mağazadan götürmə' seç
5. Göstərilən mağaza siyahısını (ad və ünvan) oxu və birini seç
6. Ünvan sahələrinin hələ də məcburi olub-olmadığına bax
7. Sağdakı xülasədə 'Çatdırılma' sətrini və 'Ödəmək'i oxu
8. HEÇ NƏ GÖNDƏRMƏ — səhifəni bağla</t>
  </si>
  <si>
    <t>Çatdırılma üsulu: Mağazadan götürmə; 'Çatdırılma və ödəniş' səhifəsinə görə mağazadan götürmə ödənişsizdir</t>
  </si>
  <si>
    <t>Mağaza siyahısı ünvanları ilə göstərilir və biri seçilə bilir; çatdırılma ünvanı sahələri tələb olunmur; xülasədə 'Çatdırılma' = Ödənişsiz və 'Ödəmək' = 'Cəmi'.</t>
  </si>
  <si>
    <t>'Mağazadan götürmə' seçildikdə mağaza siyahısı göstərildi və seçim edildi; ünvan sahələri tələb olunmadı; xülasədə çatdırılma ödənişsizdir və 'Ödəmək' = 'Cəmi' (11.10 icrası). Sifariş göndərilmədi.</t>
  </si>
  <si>
    <t>TC_CHK_POS_007</t>
  </si>
  <si>
    <t>Checkout-da Bakıdan kənar şəhər (Sumqayıt) seçildikdə rayon çatdırılma şərtləri və haqqı göstərilir</t>
  </si>
  <si>
    <t>1. Səbətdə yalnız AirPods 4 olduğuna əmin ol: Header-in sağındakı səbət ikonuna klik et və 'Səbətimə baxın' bas — https://ispace.az/cart açılır
2. 'Sifarişi rəsmiləşdirmək' düyməsini bas — https://ispace.az/checkout açılır
3. 'Kuryer ilə çatdırılma' seç
4. Şəhər siyahısından 'Sumqayıt' seç
5. Çatdırılma bölməsindəki mesajı (müddət, qiymət, ön ödəniş şərti) oxu
6. Sağdakı xülasədə 'Çatdırılma' sətrini və 'Ödəmək'i oxu
7. Şəhəri 'Bakı' et və mesajın dəyişdiyini yoxla
8. HEÇ NƏ GÖNDƏRMƏ — səhifəni bağla</t>
  </si>
  <si>
    <t>Səbət: AirPods 4 (&lt; 300 ₼); Şəhər: Sumqayıt, sonra Bakı. Müqayisə üçün: https://ispace.az/payment-delivery — rayon şərtləri</t>
  </si>
  <si>
    <t>Sumqayıt seçildikdə Bakının 'eyni gün' şərti yox, rayon şərtləri (çatdırılma müddəti, qiyməti, tam ön ödəniş tələbi) göstərilir; xülasədəki çatdırılma haqqı mesajdakı qiymətlə eynidir və 'Ödəmək'ə daxildir; Bakı seçildikdə mesaj Bakı şərtlərinə qayıdır.</t>
  </si>
  <si>
    <t>Şəhər 'Sumqayıt' və 'Bakı' seçildikdə çatdırılma bölməsində eyni mesaj qalır: 'Sifarişin məbləği 300 AZN-ə qədər olduqda, çatdırılma qiyməti 3 AZN-dən başlayır (yerindən asılı olaraq)'. Rayon şərtləri (müddət, rayon tarifi, tam ön ödəniş tələbi) göstərilmir (11.10 icrası). Sifariş göndərilmədi.</t>
  </si>
  <si>
    <t>BUG-031</t>
  </si>
  <si>
    <t>TC_SRCH_POS_001</t>
  </si>
  <si>
    <t>Model adı ilə axtarış uyğun nəticələr qaytarır</t>
  </si>
  <si>
    <t>1. https://ispace.az/ ünvanını aç
2. Header-dəki axtarış ikonuna klik et
3. Axtarış sahəsinə test datasını yaz
4. Enter bas
5. Nəticə sayını və ilk 10 nəticənin adını oxu</t>
  </si>
  <si>
    <t>iPhone 17</t>
  </si>
  <si>
    <t>Nəticə sayı &gt; 0; ilk 10 nəticənin adında 'iPhone 17' var.</t>
  </si>
  <si>
    <t>'iPhone 17' axtarışında nəticələr uyğundur.</t>
  </si>
  <si>
    <t>BR-16</t>
  </si>
  <si>
    <t>Axtarış Enter ilə; nəticə başlığı və məhsul adı yoxlanır</t>
  </si>
  <si>
    <t>TC_SRCH_POS_002</t>
  </si>
  <si>
    <t>Məhsul kodu ilə axtarış həmin məhsulu tapır</t>
  </si>
  <si>
    <t>1. Stokda olan məhsulun səhifəsindən məhsul kodunu kopyala
2. Header-dəki axtarış ikonuna klik et
3. məhsul kodunu axtarış sahəsinə yapışdır
4. Enter bas
5. Həmin məhsulun nəticədə olduğunu yoxla</t>
  </si>
  <si>
    <t>Məhsul kodu icra zamanı götürülür (məs. MG6M4AF/A)</t>
  </si>
  <si>
    <t>Həmin məhsul nəticələrdədir.</t>
  </si>
  <si>
    <t>Məhsul kodu ilə axtarış həmin məhsulu tapır.</t>
  </si>
  <si>
    <t>TC_SRCH_POS_003</t>
  </si>
  <si>
    <t>Böyük/kiçik hərflə yazılmış eyni sorğu eyni nəticəni, qismən söz ('airp') uyğun məhsulları qaytarır</t>
  </si>
  <si>
    <t>1. Header-dəki axtarış ikonuna klik et
2. 'airpods' yaz və Enter bas — nəticələri qeyd et
3. Sahəni təmizlə, 'AIRPODS' yaz və Enter bas — nəticələri müqayisə et
4. Sahəni təmizlə, 'airp' yaz və Enter bas
5. Nəticələrdə AirPods məhsullarının olduğunu yoxla</t>
  </si>
  <si>
    <t>airpods; AIRPODS; airp</t>
  </si>
  <si>
    <t>İlk ikisinin nəticələri eynidir; qismən sözdə AirPods məhsulları nəticədədir.</t>
  </si>
  <si>
    <t>'airpods' və 'AIRPODS' eyni nəticəni verir. 'airp' sorğusunda AirPods məhsulları nəticədədir, lakin adında 'Air' olan digər məhsullar da göstərilir — OBS-03 (relevantlıq).</t>
  </si>
  <si>
    <t>2-ci və 3-cü sorğu birbaşa /search?query= linki ilə açılır; 'AIRPODS' nəticəsi 'airpods' ilə eynidir</t>
  </si>
  <si>
    <t>TC_SRCH_POS_004</t>
  </si>
  <si>
    <t>Azərbaycan hərfləri ilə axtarış uyğun nəticə verir</t>
  </si>
  <si>
    <t>1. Header-dəki axtarış ikonuna klik et
2. 'qulaqlıq' yaz və Enter bas
3. Nəticələrə bax
4. Sahəni təmizlə, 'şarj' yaz və Enter bas
5. Nəticələrə bax</t>
  </si>
  <si>
    <t>qulaqlıq; şarj</t>
  </si>
  <si>
    <t>Uyğun aksesuarlar (qulaqlıq, şarj cihazları) göstərilir.</t>
  </si>
  <si>
    <t>'qulaqlıq' və 'şarj' axtarışları uyğun aksesuarları göstərir.</t>
  </si>
  <si>
    <t>M1 — nəticələrin uyğunluğu insan qiymətləndirməsidir</t>
  </si>
  <si>
    <t>TC_SRCH_NEG_005</t>
  </si>
  <si>
    <t>Nəticəsiz sorğuda boş vəziyyət mesajı göstərilir</t>
  </si>
  <si>
    <t>1. Header-dəki axtarış ikonuna klik et
2. 'qwertyzx123' yaz və Enter bas
3. Göstərilən mesaja bax</t>
  </si>
  <si>
    <t>qwertyzx123</t>
  </si>
  <si>
    <t>'Nəticə tapılmadı' tipli mesaj; səhifə xəta vermir.</t>
  </si>
  <si>
    <t>'qwertyzx123': 'Heç nə tapılmadı. Sorğunu dəyişməyə cəhd edin və ya məhsullar siyahısına baxın.' mesajı göstərildi.</t>
  </si>
  <si>
    <t>'qwertyzx123' sorğusunda 'Heç nə tapılmadı' mesajı göstərilir</t>
  </si>
  <si>
    <t>TC_SRCH_NEG_006</t>
  </si>
  <si>
    <t>Boş və ya yalnız boşluqdan ibarət sorğuda 'Sorğu ən az 3 simvoldan ibarət olmalıdır' mesajı göstərilir</t>
  </si>
  <si>
    <t>1. Header-dəki axtarış ikonuna klik et
2. Sahəni boş saxla və Enter bas
3. Göstərilən mesaja bax
4. 3 boşluq yaz və Enter bas
5. Göstərilən mesaja bax</t>
  </si>
  <si>
    <t>''; '   '</t>
  </si>
  <si>
    <t>Sorğu göndərilmir; sahənin altında 'Sorğu ən az 3 simvoldan ibarət olmalıdır' mesajı göstərilir; xəta səhifəsi yoxdur.</t>
  </si>
  <si>
    <t>Boş və boşluqdan ibarət sorğuda sahənin altında 'Sorğu ən az 3 simvoldan ibarət olmalıdır' mesajı göstərilir; sorğu göndərilmir (BR-16).</t>
  </si>
  <si>
    <t>TC_SRCH_NEG_007</t>
  </si>
  <si>
    <t>Xüsusi simvollu və çox uzun sorğu mətn kimi göstərilir, səhifə dağılmır</t>
  </si>
  <si>
    <t>1. Header-dəki axtarış ikonuna klik et
2. '&lt;b&gt;iphone&lt;/b&gt;' yaz və Enter bas — səhifəyə bax
3. Sahəni təmizlə, 'iphone "17" &amp; %' yaz və Enter bas — səhifəyə bax
4. Sahəni təmizlə, 300 simvolluq mətn yapışdır və Enter bas — səhifəyə bax</t>
  </si>
  <si>
    <t>HTML teqi; simvollar; 300 simvol</t>
  </si>
  <si>
    <t>Mətn icra olunmur, olduğu kimi göstərilir; səhifə dağılmır; server xətası yoxdur. (Yalnız passiv müşahidə, hücum yoxdur.)</t>
  </si>
  <si>
    <t>HTML teqi və xüsusi simvollar icra olunmadı, səhifə dağılmadı; 'Heç nə tapılmadı' mesajı göstərildi. Qeyd: 'iphone "17" &amp; %' kimi düzgün söz + simvol sorğusu da nəticə vermir — OBS-04.</t>
  </si>
  <si>
    <t>M5 — bir dəfəlik, etik məhdudiyyətlə</t>
  </si>
  <si>
    <t>TC_LOC_POS_001</t>
  </si>
  <si>
    <t>Dil dəyişəndə eyni səhifənin digər dil versiyası açılır</t>
  </si>
  <si>
    <t>Pozitiv · Lokalizasiya</t>
  </si>
  <si>
    <t>1. https://ispace.az/category/iphone ünvanını aç
2. Səhifənin yuxarısındakı 'N Məhsul' mətnindən nəticə sayını qeyd et
3. Header-dəki dil seçimindən 'English' seç
4. URL-i və nəticə sayını yoxla
5. Bir məhsulun səhifəsini aç və dili 'Azərbaycan' → 'English' et — URL-i yoxla
6. Eyni səhifədə dili 'Русский' et — URL-i və qiyməti yoxla</t>
  </si>
  <si>
    <t>AZ → EN → RU</t>
  </si>
  <si>
    <t>URL /en/... və ya /ru/... prefiksi ilə eyni səhifədir; məhsul sayı və qiymətlər eynidir.</t>
  </si>
  <si>
    <t>Dil keçidi eyni səhifənin /en və /ru versiyasını açır; məhsul sayı və qiymətlər eynidir.</t>
  </si>
  <si>
    <t>TC_LOC_POS_002</t>
  </si>
  <si>
    <t>EN versiyada əsas UI elementləri ingiliscədir</t>
  </si>
  <si>
    <t>1. https://ispace.az/en/category/iphone ünvanını aç
2. Sıralama siyahısının seçimlərini oxu
3. Filtr qruplarının başlıqlarını oxu
4. Kart düyməsinin mətnini oxu
5. Nəticə sayı mətnini oxu</t>
  </si>
  <si>
    <t>'Popular / Low price / High price'; 'In stock'; 'Add to cart'; 'N Products'.</t>
  </si>
  <si>
    <t>EN versiyada sıralama, filtr başlıqları, kart düyməsi və məhsul sayı ingiliscədir.</t>
  </si>
  <si>
    <t>TC_LOC_UI_003</t>
  </si>
  <si>
    <t>AZ versiyada kateqoriya, filtr və menyu mətnləri tərcümə və orfoqrafiya səhvi olmadan göstərilir</t>
  </si>
  <si>
    <t>1. https://ispace.az/category/iphone ünvanını aç
2. Header menyusundakı bütün bölmə adlarını oxu
3. Filtr panelindəki qrup adlarını və dəyərləri oxu ('+ Daha çox göstər' daxil)
4. Kart düymələrinin və sayğac mətnlərinin dilini və yazılışını yoxla
5. Tapılan hər səhv mətni dəqiq yazılışı ilə qeyd et</t>
  </si>
  <si>
    <t>Orfoqrafik səhv, tərcümə olunmamış və ya qarışıq dilli mətn yoxdur.</t>
  </si>
  <si>
    <t>AZ versiyada stok filtrində orfoqrafik səhv: 'Movcuddur' (düzgün: 'Mövcuddur'). Digər yoxlanılan mətnlərdə problem müşahidə olunmadı.</t>
  </si>
  <si>
    <t>BUG-006</t>
  </si>
  <si>
    <t>TC_INF_POS_001</t>
  </si>
  <si>
    <t>Trade In səhifəsi açılır, xidmətin şərtləri, addımları və qəbul edilən cihazlar göstərilir, EN və RU versiyaları açılır</t>
  </si>
  <si>
    <t>1. https://ispace.az/trade-in ünvanını aç (və ya menyuda 'Xidmətlər' → 'Trade In')
2. 'Mağazanın yüklənməsi' yazısı yox olana qədər gözlə
3. Səhifənin başlığını, Trade In-in nə olduğunu, şərtlərini, addımlarını və hansı cihazların qəbul edildiyini oxu
4. Dil keçidində 'EN' bas və açılan səhifəni yoxla
5. Dil keçidində 'RU' bas və açılan səhifəni yoxla
6. HEÇ BİR MÜRACİƏT GÖNDƏRMƏ</t>
  </si>
  <si>
    <t>https://ispace.az/trade-in, /en/trade-in, /ru/trade-in</t>
  </si>
  <si>
    <t>Səhifə açılır (404 və boş səhifə yoxdur); Trade In-in nə olduğu, şərtləri, addımları və qəbul edilən cihazlar azərbaycanca yazılıb; EN və RU keçidi eyni səhifənin həmin dildəki versiyasını açır.</t>
  </si>
  <si>
    <t>Trade In səhifəsi açıldı; xidmətin təsviri, şərtləri, addımları və qəbul edilən cihazlar azərbaycanca göstərildi; EN və RU keçidi eyni səhifənin həmin dildəki versiyasını açdı (11.10 icrası).</t>
  </si>
  <si>
    <t>M1 — məzmunun tamlığı insan qiymətləndirməsi tələb edir</t>
  </si>
  <si>
    <t>TC_INF_EDGE_002</t>
  </si>
  <si>
    <t>'Çatdırılma və ödəniş' səhifəsində Bakı üzrə kuryer çatdırılma müddəti mətndə və cədvəldə eyni yazılıb</t>
  </si>
  <si>
    <t>1. https://ispace.az/payment-delivery ünvanını aç
2. Mətn hissəsində Bakı kuryer çatdırılma müddətini (məs. '16:00-dək — eyni gün') qeyd et
3. Səhifədəki cədvəldə Bakı üzrə çatdırılma müddətini qeyd et
4. FAQ bölməsində Bakı çatdırılması haqqında yazılanı qeyd et
5. Üç dəyəri müqayisə et</t>
  </si>
  <si>
    <t>https://ispace.az/payment-delivery — Bakı kuryer şərtləri (mətn, cədvəl, FAQ)</t>
  </si>
  <si>
    <t>Bakı kuryer çatdırılma müddəti səhifənin bütün hissələrində eynidir (məs. hər yerdə '16:00-dək rəsmiləşdirilən sifariş eyni gün').</t>
  </si>
  <si>
    <t>Bakı kuryer çatdırılma müddəti səhifənin mətn, cədvəl və FAQ hissələrində eyni yazılıb (11.10 icrası).</t>
  </si>
  <si>
    <t>M1 — mətnlərin müqayisəsi</t>
  </si>
  <si>
    <t>TC_INF_EDGE_003</t>
  </si>
  <si>
    <t>'Çatdırılma və ödəniş' səhifəsində rayonlara çatdırılma qiyməti və müddəti mətndə, cədvəldə və FAQ-da eyni yazılıb</t>
  </si>
  <si>
    <t>1. https://ispace.az/payment-delivery ünvanını aç
2. Mətn hissəsində rayonlara çatdırılmanın qiymətini və müddətini qeyd et
3. Cədvəldə rayonlar üçün qiyməti və müddəti qeyd et
4. FAQ bölməsində rayon çatdırılması haqqında yazılan qiymət və müddəti qeyd et
5. 300 ₼ pulsuz çatdırılma həddinin yalnız Bakıya, yoxsa bütün ünvanlara aid olduğunu hər hissədə qeyd et
6. Dəyərləri müqayisə et</t>
  </si>
  <si>
    <t>https://ispace.az/payment-delivery — rayon çatdırılması (mətn, cədvəl, FAQ)</t>
  </si>
  <si>
    <t>Rayonlara çatdırılmanın qiyməti, müddəti və 300 ₼ pulsuz çatdırılma həddinin aid olduğu ərazi səhifənin bütün hissələrində eyni yazılıb.</t>
  </si>
  <si>
    <t>Rayonlara çatdırılmanın qiyməti və müddəti mətn, cədvəl və FAQ-da eyni yazılıb. 300 ₼ pulsuz çatdırılma həddi səhifədə ümumi şərt kimi yazılıb — Bakı və ya rayonlar üçün ayrıca qeyd yoxdur (biznesə sual kimi qeyd olundu) (11.10 icrası).</t>
  </si>
  <si>
    <t>TC_LOC_UI_004</t>
  </si>
  <si>
    <t>AZ versiyada bütün iPhone modellərinin məhsul səhifəsində 'Ətraflı' bölməsi azərbaycanca göstərilir</t>
  </si>
  <si>
    <t>1. https://ispace.az/category/iphone ünvanını aç (dil: Azərbaycan)
2. Test datasındakı birinci modelin kartına klik et — məhsul səhifəsi açılır
3. Səhifəni aşağı sürüşdür və 'Ətraflı' bölməsini aç
4. Bölmədəki mətnin dilini qeyd et (AZ / EN / qarışıq)
5. Test datasındakı digər modellər üçün 2–4-cü addımları təkrarla</t>
  </si>
  <si>
    <t>Hər seriyadan bir model (EP): iPhone 18 Pro, iPhone 18 Pro Max, iPhone Air, iPhone 17, iPhone 17e, iPhone 16, iPhone 16e, iPhone 15</t>
  </si>
  <si>
    <t>Hər modelin 'Ətraflı' bölməsi azərbaycancadır (brend adları və texniki terminlər istisna); eyni kateqoriyada bəzi modellərdə AZ, bəzilərində EN mətn yoxdur.</t>
  </si>
  <si>
    <t>10.10: AZ versiyada iPhone modellərinin 'Ətraflı' bölməsi qarışıqdır — bəzi modellərdə mətn azərbaycanca, bəzilərində ingiliscədir (məs. iPhone 17e — tam ingiliscə). İstifadəçi eyni kateqoriyada iki dildə məzmun görür.</t>
  </si>
  <si>
    <t>M1 — mətn və tərcümə keyfiyyəti insan qiymətləndirməsi tələb edir</t>
  </si>
  <si>
    <t>BUG-023</t>
  </si>
  <si>
    <t>TC_LOC_UI_005</t>
  </si>
  <si>
    <t>RU versiyada iPhone kateqoriyasının başlıq blokundakı mətnlər rus dilindədir</t>
  </si>
  <si>
    <t>1. https://ispace.az/ru/category/iphone ünvanını aç
2. Səhifənin yuxarısındakı başlıq blokunun bütün mətnlərini oxu
3. Rus dilində olmayan hər mətni dəqiq yazılışı ilə qeyd et</t>
  </si>
  <si>
    <t>https://ispace.az/ru/category/iphone</t>
  </si>
  <si>
    <t>Başlıq blokundakı bütün mətnlər rus dilindədir.</t>
  </si>
  <si>
    <t>RU versiyada kateqoriya başlığı blokunda tərcümə olunmamış (rus dilində olmayan) mətn göstərilir (08.10 icrası).</t>
  </si>
  <si>
    <t>M1 — tərcümə keyfiyyəti</t>
  </si>
  <si>
    <t>BUG-005</t>
  </si>
  <si>
    <t>Requirement Traceability Matrix (RTM) — iSpace.az</t>
  </si>
  <si>
    <t>Eyni məhsulun qiyməti listing, PDP və səbətdə eynidir</t>
  </si>
  <si>
    <t>Filtr yanındakı sayğac (N) filtr tətbiq edildikdən sonrakı n</t>
  </si>
  <si>
    <t>'Aşağı qiymət' artan, 'Yüksək qiymət' azalan sıra verir — bü</t>
  </si>
  <si>
    <t>Qiymət aralığı filtri yalnız [min; max] daxilində (sərhədlər</t>
  </si>
  <si>
    <t>Filtrdə göstərilən 'Ən yüksək qiymət' kateqoriyadakı ən baha</t>
  </si>
  <si>
    <t>Variant (yaddaş/rəng) dəyişəndə məhsul kodu, qiymət və URL müvafiq v</t>
  </si>
  <si>
    <t>Səbət cəmi = Σ (qiymət × miqdar) + seçilmiş əlavə proqramlar</t>
  </si>
  <si>
    <t>0% taksitdə aylıq məbləğ = qiymət / ay sayı, ən yaxın tam ma</t>
  </si>
  <si>
    <t>24 aylıq taksitdə aylıq məbləğ qiymət/24-dən ~12–13% yüksəkd</t>
  </si>
  <si>
    <t>Dil keçidi istifadəçini eyni səhifənin digər dil versiyasına</t>
  </si>
  <si>
    <t>Məhsul kartında vəziyyətə görə 4 düymədən biri göstərilir: '</t>
  </si>
  <si>
    <t>Bir-birini istisna edən filtr qrupunda (stok, yaddaş, SIM, e</t>
  </si>
  <si>
    <t xml:space="preserve">Bakı: 16:00-dək rəsmiləşdirilən sifariş eyni gün; haqq 4–50 </t>
  </si>
  <si>
    <t>Səhifədə 21 məhsul göstərilir; səhifə sayı = ⌈N/21⌉</t>
  </si>
  <si>
    <t>Miqdar mövcud stok sayından artıq seçilə bilmir; həddə çatan</t>
  </si>
  <si>
    <t xml:space="preserve">Axtarış sorğusu ən az 3 simvol olmalıdır; daha qısa sorğuda </t>
  </si>
  <si>
    <t>0% hissə-hissə ödəniş: 2–24 ay (/credit) və ya 3–24 ay (/pay</t>
  </si>
  <si>
    <t>Filtrlər 'Tətbiq et' ilə tətbiq olunur. Hər filtr dəyəri məh</t>
  </si>
  <si>
    <t>−15% VİSA' endirimi yalnız 'Apple Pay vasitəsilə Visa ilə ö</t>
  </si>
  <si>
    <t>Checkout formasında telefon və e-poçt formatı yoxlanılır; sə</t>
  </si>
  <si>
    <t>TC ID</t>
  </si>
  <si>
    <t>Başlıq</t>
  </si>
  <si>
    <t>Ssenari</t>
  </si>
  <si>
    <t>BR-05</t>
  </si>
  <si>
    <t>BR-08</t>
  </si>
  <si>
    <t>BR-09</t>
  </si>
  <si>
    <t>BR-19</t>
  </si>
  <si>
    <t>✓</t>
  </si>
  <si>
    <t>Əhatə: test case sayı</t>
  </si>
  <si>
    <t>Vəziyyət</t>
  </si>
  <si>
    <t>Manual / Avtomat Qərar Matrisi</t>
  </si>
  <si>
    <t>Kod</t>
  </si>
  <si>
    <t>Qərar</t>
  </si>
  <si>
    <t>Meyar</t>
  </si>
  <si>
    <t>İzah</t>
  </si>
  <si>
    <t>Nümunə</t>
  </si>
  <si>
    <t>Kritik və tez-tez təkrarlanan</t>
  </si>
  <si>
    <t>Gəlir axınına (kataloq → məhsul → səbət) birbaşa təsir edir və hər release-də yoxlanmalıdır.</t>
  </si>
  <si>
    <t>Səbətə əlavə, səbət cəmi, qiymət uyğunluğu</t>
  </si>
  <si>
    <t>Deterministik və ölçülə bilən nəticə</t>
  </si>
  <si>
    <t>Nəticə hər icrada eynidir və konkret qayda ilə yoxlanılır (say, sıra, uyğunluq). Assertion dəyişkən dataya yox, qaydaya əsaslanır.</t>
  </si>
  <si>
    <t>Sıralama artan sırada, filtr sayğacı = nəticə sayı</t>
  </si>
  <si>
    <t>A3</t>
  </si>
  <si>
    <t>Çox data / kombinasiya</t>
  </si>
  <si>
    <t>Eyni yoxlama çoxlu dəyər və ya kombinasiya ilə təkrarlanır — əl ilə yorucu və səhvə meyillidir.</t>
  </si>
  <si>
    <t>Filtr kombinasiyaları, səhifələr boyu sıra</t>
  </si>
  <si>
    <t>İnsan qiymətləndirməsi lazımdır</t>
  </si>
  <si>
    <t>Vizual görünüş, UX, mətn və tərcümə keyfiyyəti, axtarış nəticələrinin 'uyğunluğu' — kodla etibarlı ölçülmür.</t>
  </si>
  <si>
    <t>Orfoqrafiya səhvləri, qalereya, axtarışda yazı səhvi</t>
  </si>
  <si>
    <t>M2</t>
  </si>
  <si>
    <t>Real / geri qaytarılmaz əməliyyat</t>
  </si>
  <si>
    <t>Prodda real sifariş, müraciət və ya bildiriş yaradır. Yalnız submit-ə qədər manual yoxlanılır.</t>
  </si>
  <si>
    <t>1 kliklə al, checkout, 'Mövcud olduqda bildirin'</t>
  </si>
  <si>
    <t>Qeyri-deterministik nəticə</t>
  </si>
  <si>
    <t>Nəticə kataloqdan, kampaniyadan və ya eyni qiymətli məhsulların sırasından asılıdır — avtomat test flaky olar.</t>
  </si>
  <si>
    <t>Banner linkləri, nəticəsiz filtr kombinasiyası</t>
  </si>
  <si>
    <t>M4</t>
  </si>
  <si>
    <t>Kənar asılılıq</t>
  </si>
  <si>
    <t>Üçüncü tərəf servis, ünvana görə dəyişən tarif, SMS və s.</t>
  </si>
  <si>
    <t>Çatdırılma haqqı (4–50 ₼, ünvandan asılı)</t>
  </si>
  <si>
    <t>Aşağı risk / tələb qeyri-müəyyən</t>
  </si>
  <si>
    <t>Bir dəfəlik yoxlama, aşağı biznes riski və ya gözlənilən davranış tələbdə yoxdur — əvvəl biznes qərarı lazımdır.</t>
  </si>
  <si>
    <t>?page=0, miqdarın yuxarı həddi, min &gt; max</t>
  </si>
  <si>
    <t>Regression seçimi qaydası</t>
  </si>
  <si>
    <t>1. Case avtomatlaşdırılır (A1–A3) VƏ prioriteti P1 — Critical və ya P2 — High-dır → Regression: Bəli.</t>
  </si>
  <si>
    <t>2. P3 — Medium prioritetli avtomat case → yalnız pul/say/qiymət ilə bağlıdırsa və ya əvvəl bug tapılan yerdədirsə Regression: Bəli.</t>
  </si>
  <si>
    <t>3. Smoke = regression-un alt dəsti: sistemin ümumiyyətlə işlədiyini 2–3 dəqiqədə göstərən ən kritik case-lər.</t>
  </si>
  <si>
    <t>4. Manual case regression-a daxil edilmir; release öncəsi riskə görə seçmə icra olunur.</t>
  </si>
  <si>
    <t>5. 'Avtomat' = avtomatlaşdırmağa uyğundur. Regression = Bəli olan 40 case-dən 20-i avtomatlaşdırılıb (prioritet: pul hesablamaları, əsas axın, filtr/sıralama, BVA), 2-si prod-da real sifariş/maliyyə riski səbəbindən manual regression kimi qalır, 18-i növbəti mərhələdə avtomatlaşdırılacaq ('Web Test Cases' → 'Avtomatlaşdırma statusu' sütunu).</t>
  </si>
  <si>
    <t>Bug Report-lar — iSpace.az</t>
  </si>
  <si>
    <t>Addımlar</t>
  </si>
  <si>
    <t>Severity</t>
  </si>
  <si>
    <t>Priority</t>
  </si>
  <si>
    <t>Təkrarlanma</t>
  </si>
  <si>
    <t>Sübut</t>
  </si>
  <si>
    <t>Əlaqəli test case</t>
  </si>
  <si>
    <t>BUG-001</t>
  </si>
  <si>
    <t>Səhifələmə zamanı məhsulun təkrarlanması və ya itməsi</t>
  </si>
  <si>
    <t>Kateqoriya — pagination</t>
  </si>
  <si>
    <t>Production · Chrome (son) · Windows/macOS desktop · inkognito · AZ dili</t>
  </si>
  <si>
    <t>1. https://ispace.az/category/iphone aç
2. Bütün səhifələrdən məhsul URL-lərini topla
3. Təkrarlanan və itən məhsulu yoxla</t>
  </si>
  <si>
    <t>Bütün səhifələrdə toplanan URL-lərin sayı = N, təkrar yoxdur</t>
  </si>
  <si>
    <t>10.10 təkrar icrasında təkrarlanma/itmə müşahidə olunmadı</t>
  </si>
  <si>
    <t>0/1</t>
  </si>
  <si>
    <t>Rejected</t>
  </si>
  <si>
    <t>10.10 təkrar icrası (TC_PLP_POS_023 — Pass)</t>
  </si>
  <si>
    <t>BUG-002</t>
  </si>
  <si>
    <t>Qoruma proqramı seçimi ləğv olunmur, yalnız səhifə yeniləndikdə sıfırlanır</t>
  </si>
  <si>
    <t>PDP — əlavə proqram</t>
  </si>
  <si>
    <t>1. Stokda olan iPhone PDP-sini aç
2. '+1 il zədələrə qarşı qorunma' seç
3. Eyni seçimə yenidən klik et
4. 'Əlavə proqram olmadan' seçiminə klik et</t>
  </si>
  <si>
    <t>Addım 4-dən sonra proqram ləğv olunur və qiymət ilkin vəziyyətə qayıdır</t>
  </si>
  <si>
    <t>Addım 3-dən sonra seçim ləğv olunmur; yalnız səhifə yeniləndikdə sıfırlanır. Addım 4-ün nəticəsi qeyd edilməlidir</t>
  </si>
  <si>
    <t>Medium</t>
  </si>
  <si>
    <t>P3</t>
  </si>
  <si>
    <t>Rejected (təkrar yoxlamada təkrarlanmadı)</t>
  </si>
  <si>
    <t>Video/ekran görüntüsü</t>
  </si>
  <si>
    <t>BUG-003</t>
  </si>
  <si>
    <t>Səbət sayğacı faktiki əlavə edilən miqdardan çox göstərir</t>
  </si>
  <si>
    <t>1. YENİ inkognito pəncərə aç (səbət boş olmalıdır)
2. Bir məhsulu 1 dəfə səbətə əlavə et
3. Header sayğacına və səbətdəki miqdara bax
4. Səhifəni yenilə</t>
  </si>
  <si>
    <t>Sayğac və miqdar 1-dir</t>
  </si>
  <si>
    <t>İlk icrada 1 məhsul əlavə edilsə də 4 göstərildi. 10.10 təkrar yoxlamasında (yeni inkognito sessiya) sayğac və miqdar düzgündür: sayğac qaydası ardıcıldır (TC_CART_EDGE_025), səbət sessiyaya bağlıdır və təmizlənəndə sıfırlanır (TC_CART_EDGE_028). Nəticə: '4' əvvəlki case-lərdən qalan səbət idi, defekt deyil — test datası problemi</t>
  </si>
  <si>
    <t>0/2 (təmiz sessiyada)</t>
  </si>
  <si>
    <t>Rejected (təkrarlanmır)</t>
  </si>
  <si>
    <t>Ekran görüntüsü (ilk müşahidə); 10.10 təkrar yoxlama: TC_CART_EDGE_025, TC_CART_EDGE_028 — Pass</t>
  </si>
  <si>
    <t>BUG-004</t>
  </si>
  <si>
    <t>Səbətdə 1 məhsul əvəzinə 4 göstərilir</t>
  </si>
  <si>
    <t>BUG-003 ilə eyni</t>
  </si>
  <si>
    <t>TC_CART_POS_012 icrasında eyni müşahidə</t>
  </si>
  <si>
    <t>Duplicate (BUG-003)</t>
  </si>
  <si>
    <t>RU versiyada kateqoriya başlığında tərcümə olunmamış mətn var</t>
  </si>
  <si>
    <t>Lokalizasiya — RU</t>
  </si>
  <si>
    <t>1. https://ispace.az/ru/category/iphone aç
2. Kateqoriya başlığı blokuna bax</t>
  </si>
  <si>
    <t>Bütün mətnlər rus dilindədir</t>
  </si>
  <si>
    <t>Kateqoriya başlığında bir hissə tərcümə olunmayıb (dəqiq mətn və ekran görüntüsü əlavə edilməlidir)</t>
  </si>
  <si>
    <t>Low</t>
  </si>
  <si>
    <t>New</t>
  </si>
  <si>
    <t>Ekran görüntüsü</t>
  </si>
  <si>
    <t>Stok filtrində orfoqrafik səhv: 'Movcuddur'</t>
  </si>
  <si>
    <t>Kateqoriya — filtr / Lokalizasiya</t>
  </si>
  <si>
    <t>1. https://ispace.az/category/iphone aç
2. 'Stokda var' filtr blokuna bax</t>
  </si>
  <si>
    <t>'Mövcuddur'</t>
  </si>
  <si>
    <t>'Movcuddur' (ö əvəzinə o)</t>
  </si>
  <si>
    <t>P4</t>
  </si>
  <si>
    <t>3/3</t>
  </si>
  <si>
    <t>BUG-007</t>
  </si>
  <si>
    <t>'1 kliklə al' formasında sahə səviyyəsində validasiya yoxdur — boş forma ümumi xəta verir</t>
  </si>
  <si>
    <t>PDP — 1 kliklə al</t>
  </si>
  <si>
    <t>1. Stokda olan məhsulun PDP-sini aç
2. '1 kliklə al' bas
3. Sahələri boş saxlayıb təsdiq düyməsinə bas</t>
  </si>
  <si>
    <t>Məcburi sahələr işarələnir, hər sahənin altında aydın mesaj göstərilir; sorğu serverə göndərilmir</t>
  </si>
  <si>
    <t>Ümumi mesaj: 'Xəta baş verdi. Müraciəti yenidən göndərməyə cəhd edin.' — hansı sahənin səhv olduğu göstərilmir</t>
  </si>
  <si>
    <t>BUG-008</t>
  </si>
  <si>
    <t>Menyuda orfoqrafik səhv: 'Acıq qutu'</t>
  </si>
  <si>
    <t>Naviqasiya</t>
  </si>
  <si>
    <t>1. Ana səhifəni aç
2. Mac / iPad / iPhone menyusunu aç</t>
  </si>
  <si>
    <t>'Açıq qutu'</t>
  </si>
  <si>
    <t>'Acıq qutu'</t>
  </si>
  <si>
    <t>Rejected (icrada təsdiqlənmədi)</t>
  </si>
  <si>
    <t>BUG-009</t>
  </si>
  <si>
    <t>PDP texniki göstəricilərdə səhv başlıq: 'Camera Video Featuers'</t>
  </si>
  <si>
    <t>PDP</t>
  </si>
  <si>
    <t>iPhone 17 PDP → Texniki göstəricilər → Kamera</t>
  </si>
  <si>
    <t>Azərbaycanca düzgün başlıq</t>
  </si>
  <si>
    <t>'Camera Video Featuers'</t>
  </si>
  <si>
    <t>08.10 icrasında təkrarlanmadı (TC_PDP_UI_003)</t>
  </si>
  <si>
    <t>BUG-010</t>
  </si>
  <si>
    <t>PDP-də orfoqrafik səhv: 'Proqramm təminatı'</t>
  </si>
  <si>
    <t>iPhone 17 PDP → Texniki göstəricilər</t>
  </si>
  <si>
    <t>'Proqram təminatı'</t>
  </si>
  <si>
    <t>'Proqramm təminatı'</t>
  </si>
  <si>
    <t>AZ versiyada filtr dəyərləri tərcümə olunmayıb: '36 Hours', '45 Hours'</t>
  </si>
  <si>
    <t>Kateqoriya — filtr</t>
  </si>
  <si>
    <t>/category/iphone → 'Video izləmə müddəti' filtri</t>
  </si>
  <si>
    <t>'36 saat', '45 saat'</t>
  </si>
  <si>
    <t>'36 Hours', '45 Hours' (10.10 icrasında təsdiqləndi)</t>
  </si>
  <si>
    <t>1/1</t>
  </si>
  <si>
    <t>BUG-012</t>
  </si>
  <si>
    <t>Kateqoriya karuselində qarışıq dilli mətn: 'View all iPhone -lara bax'</t>
  </si>
  <si>
    <t>Naviqasiya / Lokalizasiya</t>
  </si>
  <si>
    <t>/category/iphone → yuxarıdakı model karuselinin sonu</t>
  </si>
  <si>
    <t>Tam azərbaycanca mətn</t>
  </si>
  <si>
    <t>'View all iPhone -lara bax'</t>
  </si>
  <si>
    <t>BUG-013</t>
  </si>
  <si>
    <t>PDP təsvirində yanlış tərcümə: 'Ceramic Shield 2 ön kamerası'</t>
  </si>
  <si>
    <t>iPhone 17 PDP → Xüsusiyyətlər, 1-ci bənd</t>
  </si>
  <si>
    <t>Ceramic Shield ön örtük kimi təsvir olunur</t>
  </si>
  <si>
    <t>'ön kamerası' kimi təsvir olunub</t>
  </si>
  <si>
    <t>BUG-014</t>
  </si>
  <si>
    <t>Listing kartında '0% · 12 ay' etiketi ilə '24 ay' aylıq məbləği yanaşı göstərilir</t>
  </si>
  <si>
    <t>Kateqoriya / UX</t>
  </si>
  <si>
    <t>/category/iphone → iPhone 17 Pro Max 256 GB kartı</t>
  </si>
  <si>
    <t>Etiket və aylıq məbləğ eyni taksit şərtinə aid olur</t>
  </si>
  <si>
    <t>'0% · 12 ay' etiketi, altında 'Ayda 161 ₼-dan, 24 ay' — istifadəçi 0%-i 24 aya aid edə bilər</t>
  </si>
  <si>
    <t>TC_PDP_POS_002, TC_FIN_POS_004</t>
  </si>
  <si>
    <t>BUG-015</t>
  </si>
  <si>
    <t>Aylıq ödənişdəki '*' işarəsinin izahı tapılmır</t>
  </si>
  <si>
    <t>PDP / Taksit</t>
  </si>
  <si>
    <t>1. iPhone 17 256 GB PDP-sini aç
2. Qiymətin altındakı '113 ₼/ay 24 ay*' mətninə bax
3. '*' izahını səhifədə və proqramlar pəncərəsində axtar</t>
  </si>
  <si>
    <t>'*' işarəsinin mənası (faiz, şərt) istifadəçiyə görünən yerdə izah olunur</t>
  </si>
  <si>
    <t>Səhifə məzmununda '*' üçün izah tapılmadı (08.10 müşahidəsi)</t>
  </si>
  <si>
    <t>Ucuz məhsullarda aylıq ödəniş yuvarlaqlaşdırma ilə qiymətin 2 mislinə çatır (9 ₼ → 1 ₼ × 18 ay = 18 ₼)</t>
  </si>
  <si>
    <t>Taksit / Kateqoriya</t>
  </si>
  <si>
    <t>1. https://ispace.az/accessories-for-iphone aç, 'Aşağı qiymət' sırala
2. 9 ₼-lıq aksesuarın PDP-sini aç
3. 'Bütün proqramlara baxın' → '18 ay' seç
4. 'A ₼ × N ödəniş' və 'Ümumi ödəniş məbləği'ni müqayisə et</t>
  </si>
  <si>
    <t>Aylıq məbləğ qəpiklə (0,50 ₼) göstərilir və ya bu məbləğ üçün taksit təklif olunmur; 0% proqramda ödənişlərin cəmi ≈ qiymət</t>
  </si>
  <si>
    <t>Ana səhifədə '1 ₼/ay × 18 ay' (= 18 ₼). 08.10 icrası (TC_FIN_BVA_006): 9 ₼-lıq aksesuarın 'Taksitlə alış' pəncərəsində 18 ay üçün '1 ₼ × 18 ödəniş', 'Ümumi ödəniş məbləği' isə 9 ₼ — göstərilən aylıq ödəniş ümumi məbləğin 2 mislini verir</t>
  </si>
  <si>
    <t>P2</t>
  </si>
  <si>
    <t>Ekran görüntüsü (əlavə edilməlidir)</t>
  </si>
  <si>
    <t>'Taksitlə alış' pəncərəsində 'aylıq × ödəniş sayı' ümumi ödəniş məbləğinə bərabər deyil</t>
  </si>
  <si>
    <t>1. https://ispace.az/ saytında iPhone 18 Pro, 256 GB, Qara PDP-sini aç (3 589 ₼)
2. Qiymətin altındakı 'Bütün proqramlara baxın' bas
3. 'Taksit kartları' bölməsində '18 ay' seç
4. Hər tərəfdaşın 'A ₼ × N ödəniş' və 'Ümumi ödəniş məbləği' dəyərlərini müqayisə et</t>
  </si>
  <si>
    <t>A × N = 'Ümumi ödəniş məbləği'; son ödəniş fərqlidirsə, açıq göstərilir</t>
  </si>
  <si>
    <t>iPhone 18 Pro, 256 GB, Qara (3 589 ₼): UCard 199 ₼ × 18 = 3 582 ₼, ümumi 3 589 ₼ (7 ₼ az); 9 ay 399 × 9 = 3 591 ₼ (2 ₼ çox). Beosound A9 (endirimli 5 999 ₼): 3 ay 2 000 × 3 = 6 000; 9 ay 667 × 9 = 6 003; 18 ay 333 × 18 = 5 994. Heç bir məhsulda və müddətdə aylıq × ay sayı ümumi məbləğə bərabər deyil və son ödəniş fərqi göstərilmir (08.10 və 10.10 icrası)</t>
  </si>
  <si>
    <t>2/2 (ekran görüntüləri)</t>
  </si>
  <si>
    <t>Ekran görüntüləri: 08.10 PDP (UCard 199 × 18 = 3 582 ≠ 3 589; Leobank 217 × 18 = 3 906 ≠ 3 912); 10.10 səbət (UCard 215 × 18 = 3 870 ≠ 3 878); 10.10 PDP '3 ay' (UCard/Tamkart 1 196 × 3 = 3 588 ≠ 3 589)</t>
  </si>
  <si>
    <t>TC_FIN_POS_003, TC_FIN_BVA_005, TC_FIN_EDGE_008</t>
  </si>
  <si>
    <t>BUG-018</t>
  </si>
  <si>
    <t>Endirimli məhsul üçün taksit pəncərəsi endirimsiz qiymətlə hesablanır</t>
  </si>
  <si>
    <t>Taksit proqramları / Səbət</t>
  </si>
  <si>
    <t>1. Endirimli məhsulu tap (məs. https://ispace.az/category/extra-deals) — köhnə və yeni qiyməti qeyd et
2. Məhsulu səbətə əlavə et
3. 'Bütün proqramlara baxın' aç
4. Pəncərədəki qiyməti, 'Ödəmək'i və taksit məbləğlərini endirimli qiymətlə müqayisə et</t>
  </si>
  <si>
    <t>Taksit məbləğləri və 'Ödəmək' endirimli (faktiki satış) qiymətə görə hesablanır</t>
  </si>
  <si>
    <t>Pəncərədə endirimsiz qiymət göstərilir və taksit ona görə hesablanır — müştəriyə endirimdən artıq məbləğ təklif olunur (08.10 icrası; məhsul URL-i və ekran görüntüsü əlavə edilməlidir). 10.10 təkrar yoxlama: endirimli məhsulun (Beosound A9, 5 999 ₼) taksit pəncərəsi endirimli qiyməti istifadə edir — bug təkrarlanmadı</t>
  </si>
  <si>
    <t>High</t>
  </si>
  <si>
    <t>P1</t>
  </si>
  <si>
    <t>Ekran görüntüsü + məhsul URL-i (əlavə edilməlidir)</t>
  </si>
  <si>
    <t>BUG-019</t>
  </si>
  <si>
    <t>'Əlavə xüsusiyyətlər' filtri yalnız 8 məhsulda doldurulub — uyğun modellərin çoxu filtrlə tapılmır</t>
  </si>
  <si>
    <t>1. https://ispace.az/category/iphone aç
2. 'Əlavə xüsusiyyətlər' → 'Dynamic Island (8)' seç, 'Tətbiq et'
3. Nəticə modellərini filtrsiz siyahıdakı iPhone 15/16/17/18 modelləri ilə müqayisə et</t>
  </si>
  <si>
    <t>Xüsusiyyəti olan bütün məhsullar nəticədədir (Dynamic Island iPhone 15-dən bəri əsas modellərin hamısında var) və ya natamam data üçün filtr göstərilmir</t>
  </si>
  <si>
    <t>Bütün xüsusiyyət dəyərlərinin sayğacı 8-dir (10.10 müşahidəsi); 213 məhsuldan yalnız 8-i bu filtrlə tapılır</t>
  </si>
  <si>
    <t>'Əlavə xüsusiyyətlər' filtr dəyərləri AZ versiyada ingiliscədir</t>
  </si>
  <si>
    <t>1. https://ispace.az/category/iphone aç
2. 'Əlavə xüsusiyyətlər' qrupunu oxu</t>
  </si>
  <si>
    <t>Dəyərlər azərbaycancadır (brend terminləri istisna)</t>
  </si>
  <si>
    <t>'ProMotion technology with adaptive refresh rates up to 120Hz', '1600 nits peak brightness (HDR)', '3000 nits peak brightness (outdoor)', 'Always On display' (10.10 müşahidəsi)</t>
  </si>
  <si>
    <t>'Video izləmə müddəti' filtrinin dəyəri məhsulun PDP göstəricisi ilə uyğun deyil</t>
  </si>
  <si>
    <t>Kateqoriya — filtr / Data</t>
  </si>
  <si>
    <t>1. https://ispace.az/category/iphone aç
2. 'Video izləmə müddəti' → '36 Hours' seç, 'Tətbiq et'
3. Nəticələrdən 'iPhone 18 Pro, 512 GB, Burgundy' PDP-sini aç
4. 'Texniki göstəricilər' → video izləmə müddətinə bax</t>
  </si>
  <si>
    <t>Filtrdə seçilmiş dəyər (36 saat) məhsulun PDP-dəki göstəricisi ilə eynidir</t>
  </si>
  <si>
    <t>PDP-də video izləmə müddəti 34 saata qədər göstərilir, filtr isə məhsulu 36 saatlıq kimi qaytarır — filtr datası ilə məhsul datası ziddiyyətlidir (10.10 icrası)</t>
  </si>
  <si>
    <t>Ekran görüntüsü (filtr + PDP)</t>
  </si>
  <si>
    <t>Dil dəyişəndə (AZ → EN) tətbiq olunmuş filtrlər silinir</t>
  </si>
  <si>
    <t>1. https://ispace.az/category/iphone aç
2. '512 GB' və 'Mövcuddur' seç, 'Tətbiq et'
3. Dili 'English' et</t>
  </si>
  <si>
    <t>EN versiyada eyni filtrlər seçili qalır, nəticə sayı eynidir</t>
  </si>
  <si>
    <t>EN-ə keçəndə filtrlər sıfırlanır, bütün məhsullar göstərilir — istifadəçi seçimlərini yenidən etməli olur (10.10 icrası)</t>
  </si>
  <si>
    <t>Ekran görüntüsü (əvvəl/sonra URL)</t>
  </si>
  <si>
    <t>AZ versiyada bəzi iPhone modellərinin məhsul səhifəsində 'Ətraflı' bölməsi ingiliscədir (məs. iPhone 17e)</t>
  </si>
  <si>
    <t>PDP / Lokalizasiya</t>
  </si>
  <si>
    <t>1. https://ispace.az/category/iphone aç (dil: Azərbaycan)
2. iPhone 17e məhsul səhifəsini aç
3. 'Ətraflı' bölməsini aç və mətnin dilinə bax
4. iPhone 17 məhsul səhifəsində eyni bölmə ilə müqayisə et</t>
  </si>
  <si>
    <t>Bütün modellərin 'Ətraflı' bölməsi azərbaycancadır</t>
  </si>
  <si>
    <t>AZ versiyada 'Ətraflı' bölməsi bəzi modellərdə azərbaycanca, bəzilərində ingiliscədir (məs. iPhone 17e — tam ingiliscə); eyni kateqoriyada dil qarışıqdır (10.10 icrası)</t>
  </si>
  <si>
    <t>Səbət və mini-səbətdə '−15% VİSA' endirimi şərtsiz qiymət kimi göstərilir</t>
  </si>
  <si>
    <t>Səbət / Qiymət</t>
  </si>
  <si>
    <t>1. Listing-də AirPods 4 kartına bax: 349 ₼ xətli, 289 ₼, '−15% VİSA' nişanı
2. Səbətə əlavə et
3. Mini-səbətdə və /cart səhifəsində qiymətə bax</t>
  </si>
  <si>
    <t>Səbətdə ya listing qiyməti (289 ₼) göstərilir, ya da 246 ₼ yanında 'Apple Pay + Visa ilə ödənişdə' şərti yazılır</t>
  </si>
  <si>
    <t>Səbətdə 246 ₼ (= 289 × 0,85) şərtsiz göstərilir, xətli qiymət kimi 349 ₼ verilir; eyni sətirdə 'ya Ayda 16 ₼' isə 289 ₼-a görədir; 'Tam ödəmək 3 835 ₼' Visa endirimini nəzərdə tutur, amma bu yazılmır (10.10 ekran görüntüləri)</t>
  </si>
  <si>
    <t>Ekran görüntüləri 10.10: listing, mini-səbət, səbət; səbətdən açılan 'Taksitlə alış' pəncərəsində eyni AirPods 289 ₼, Ödəmək 3 878 ₼ (səbətdə 246 ₼ və 3 835 ₼)</t>
  </si>
  <si>
    <t>TC_FIN_POS_016, TC_CART_EDGE_022</t>
  </si>
  <si>
    <t>BUG-025</t>
  </si>
  <si>
    <t>Windows/Chrome-da checkout-da Apple Pay default ödəniş üsulu kimi seçilir</t>
  </si>
  <si>
    <t>1. Windows-da Chrome ilə səbətdə məhsul olan halda /checkout aç
2. 'Ödəniş' bölməsinə bax</t>
  </si>
  <si>
    <t>Apple Pay yalnız dəstəklənən mühitdə göstərilir və ya default seçilmir</t>
  </si>
  <si>
    <t>'Apple Pay vasitəsilə Visa ilə ödənişdə –15%' default seçilib (10.10 ekran görüntüsü, Windows + Chrome)</t>
  </si>
  <si>
    <t>1/1 (ekran görüntüsü)</t>
  </si>
  <si>
    <t>Ekran görüntüsü 10.10</t>
  </si>
  <si>
    <t>Kəşf (checkout səhifəsinin müşahidəsi, submit-siz)</t>
  </si>
  <si>
    <t>BUG-026</t>
  </si>
  <si>
    <t>Mini-səbətdə məhsulun variantı (yaddaş, rəng) göstərilmir</t>
  </si>
  <si>
    <t>Səbət — mini-səbət</t>
  </si>
  <si>
    <t>1. Səbətə iPhone 18 Pro 256 GB Qara əlavə et
2. Açılan mini-səbətə bax</t>
  </si>
  <si>
    <t>Sətirdə tam ad və variant ('iPhone 18 Pro, 256 GB, Qara') göstərilir</t>
  </si>
  <si>
    <t>Yalnız 'iPhone 18 Pro' yazılır; eyni modelin iki variantı mini-səbətdə yalnız qiymətlə fərqlənir (10.10 ekran görüntüsü)</t>
  </si>
  <si>
    <t>Ekran görüntüsü 10.10 (mini-səbət)</t>
  </si>
  <si>
    <t>'Ön sifariş' məhsulu stokdakı məhsulla eyni səbətə xəbərdarlıqsız əlavə olunur</t>
  </si>
  <si>
    <t>1. 'Ön sifariş' düyməli məhsulu səbətə əlavə et
2. Stokda olan adi məhsul əlavə et
3. Səbətdə sətirlərə və checkout düyməsinə bax</t>
  </si>
  <si>
    <t>Ön sifariş sətri ayrıca işarələnir (təxmini tarix/şərt) və ya qarışıq səbət barədə xəbərdarlıq göstərilir</t>
  </si>
  <si>
    <t>Hər iki məhsul səbətdə adi məhsul kimi görünür, ön sifariş barədə heç bir qeyd/mesaj yoxdur (10.10 icrası). Müştəri hər ikisinin eyni vaxtda çatdırılacağını düşünə bilər</t>
  </si>
  <si>
    <t>Checkout-da çatdırılma qiyməti '3 AZN-dən' yazılır, 'Çatdırılma və ödəniş' səhifəsində isə 4–50 ₼</t>
  </si>
  <si>
    <t>Checkout / Çatdırılma</t>
  </si>
  <si>
    <t>1. https://ispace.az/payment-delivery aç, Bakı kuryer tarifini oxu
2. Səbətə yalnız AirPods 4 əlavə et
3. https://ispace.az/cart → 'Sifarişi rəsmiləşdirmək'
4. 'Kuryer ilə çatdırılma', Şəhər 'Bakı' seç
5. Mesajdakı minimum qiyməti 1-ci addımdakı tariflə müqayisə et
6. Sifarişi GÖNDƏRMƏ</t>
  </si>
  <si>
    <t>Hər iki yerdə eyni tarif məlumatı (minimum qiymət) göstərilir</t>
  </si>
  <si>
    <t>Checkout: 'Sifarişin məbləği 300 AZN-ə qədər olduqda, çatdırılma qiyməti 3 AZN-dən başlayır'; /payment-delivery: Bakı üzrə 4–50 ₼ (10.10 icrası)</t>
  </si>
  <si>
    <t>Ekran görüntüsü (checkout mesajı + payment-delivery)</t>
  </si>
  <si>
    <t>Taksit pəncərəsində müddət düyməsindəki aylıq məbləğ seçilmiş tərəfdaşa görə yenilənmir</t>
  </si>
  <si>
    <t>1. iPhone 18 Pro, 256 GB, Qara PDP-sini aç (3 589 ₼)
2. 'Bütün proqramlara baxın' bas
3. 'Taksit kartları'nda '18 ay' seç — düymədə 199 ₼
4. 'Leobank taksit kartı ilə ödəniş' seç
5. '18 ay' düyməsindəki məbləğə yenidən bax</t>
  </si>
  <si>
    <t>Düymədəki məbləğ seçilmiş tərəfdaşa görə yenilənir (217 ₼) və ya minimum məbləğ olduğu yazılır ('199 ₼-dan')</t>
  </si>
  <si>
    <t>Leobank seçili ikən düymədə '18 ay · 199 ₼' qalır, Leobank sətrində isə '217 ₼ × 18 ödəniş'. Düymədə nə tərəfdaş adı, nə də '-dan' qeydi var — müştəri seçdiyi kartla aylıq 199 ₼ ödəyəcəyini düşünə bilər (fərq 18 ₼/ay, 18 ayda 323 ₼)</t>
  </si>
  <si>
    <t>Ekran görüntüləri (UCard seçili və Leobank seçili)</t>
  </si>
  <si>
    <t>Checkout-da 300 ₼-dan az səbətdə kuryer seçildikdə xülasədə 'Çatdırılma: Ödənişsiz' göstərilir, çatdırılma haqqı məbləğə əlavə olunmur</t>
  </si>
  <si>
    <t>1. Səbətə yalnız AirPods 4 əlavə et (cəmi &lt; 300 ₼)
2. https://ispace.az/cart → 'Sifarişi rəsmiləşdirmək' bas
3. 'Kuryer ilə çatdırılma' və Şəhər 'Bakı' seç
4. Bölmənin altındakı mesajı oxu
5. Sağdakı xülasədə 'Çatdırılma' sətrinə və 'Ödəmək'ə bax
6. Sifarişi GÖNDƏRMƏ</t>
  </si>
  <si>
    <t>Mesajda göstərilən çatdırılma haqqı xülasənin 'Çatdırılma' sətrində göstərilir və 'Ödəmək'ə əlavə olunur</t>
  </si>
  <si>
    <t>Mesaj: 'Sifarişin məbləği 300 AZN-ə qədər olduqda, çatdırılma qiyməti 3 AZN-dən başlayır'; xülasə isə 'Çatdırılma: Ödənişsiz' göstərir və 'Ödəmək' dəyişmir (10.10 icrası). Müştəri pulsuz çatdırılma gözləyir — ya şirkət haqqı itirir, ya da müştəriyə sonradan gözlənilməz ödəniş çıxır</t>
  </si>
  <si>
    <t>Ekran görüntüsü (kuryer mesajı + xülasə)</t>
  </si>
  <si>
    <t>Checkout-da Bakıdan kənar şəhər seçildikdə çatdırılma mesajı dəyişmir — rayon çatdırılma şərtləri göstərilmir</t>
  </si>
  <si>
    <t>1. Səbətə yalnız AirPods 4 əlavə et (cəmi &lt; 300 ₼)
2. https://ispace.az/cart → 'Sifarişi rəsmiləşdirmək' bas
3. 'Kuryer ilə çatdırılma' seç
4. Şəhər siyahısından 'Sumqayıt' seç və mesajı oxu
5. Şəhəri 'Bakı' et və mesajı yenidən oxu
6. Sifarişi GÖNDƏRMƏ</t>
  </si>
  <si>
    <t>Sumqayıt seçildikdə rayon çatdırılma şərtləri ('Çatdırılma və ödəniş' səhifəsinə görə: rayon tarifi, 2–3 iş günü, tam ön ödəniş) göstərilir; Bakı seçildikdə mesaj Bakı şərtlərinə qayıdır</t>
  </si>
  <si>
    <t>Hər iki şəhərdə eyni mesaj qalır: 'Sifarişin məbləği 300 AZN-ə qədər olduqda, çatdırılma qiyməti 3 AZN-dən başlayır (yerindən asılı olaraq)'. Rayon müştərisi tam ön ödəniş tələbi və rayon tarifi haqqında məlumat almır (11.10 icrası)</t>
  </si>
  <si>
    <t>Ekran görüntüsü (Sumqayıt və Bakı seçimi)</t>
  </si>
  <si>
    <t>Qoruma proqramının qiyməti məhsul səhifəsində və səbətdə fərqlidir (539 ₼ → 538 ₼)</t>
  </si>
  <si>
    <t>Səbət / Məhsul səhifəsi (PDP)</t>
  </si>
  <si>
    <t>1. 'Mövcuddur' filtrli iPhone siyahısından ilk məhsulu aç (16.10: iPhone 18 Pro, 256 GB, Qara — 3 589 ₼)
2. 'Məhsulunuzu qoruyun' bölməsində '+1 il zədələrə qarşı qorunma' qiymətini qeyd et və seç
3. 'Səbətə' → 'Səbətimə baxın'
4. Səbətdə proqramın qiymətini və 'Cəmi'ni müqayisə et</t>
  </si>
  <si>
    <t>Proqramın qiyməti bütün ekranlarda eynidir; Cəmi = məhsul + PDP-də göstərilən proqram qiyməti (3 589 + 539 = 4 128 ₼)</t>
  </si>
  <si>
    <t>PDP-də proqram 539 ₼, səbətdə 538 ₼; 'Cəmi' 4 127 ₼ (3 589 + 538). Ehtimal: 15% × 3 589 = 538,35 ₼ — ekranlar fərqli yuvarlaqlaşdırır. Fərq 1 ₼-dır, amma müştəriyə göstərilən və hesablanan məbləğ uyğun gəlmir</t>
  </si>
  <si>
    <t>1/1 (Gauge avtomat icrası)</t>
  </si>
  <si>
    <t>Gauge HTML report, 16.10.2026 — TC_CART_POS_009 ekran görüntüsü (səbət: Cəmi 4 127 ₼)</t>
  </si>
  <si>
    <t>TC_CART_POS_009, TC_PDP_POS_008</t>
  </si>
  <si>
    <t>Test Summary Report — iSpace.az (Web, manual + avtomat)</t>
  </si>
  <si>
    <t>1. Ümumi məlumat</t>
  </si>
  <si>
    <t>iSpace.az — Kateqoriya və filtrlər (PLP), Məhsul səhifəsi (PDP), Taksit proqramları, Səbət, Checkout (göndərmədən), Axtarış, Lokalizasiya, Xidmət səhifələri (Trade In, Çatdırılma və ödəniş)</t>
  </si>
  <si>
    <t>Production · Google Chrome (son versiya) · inkognito · desktop 1920×1080 · AZ dili · login olmadan</t>
  </si>
  <si>
    <t>Növ</t>
  </si>
  <si>
    <t>Manual funksional, neqativ, sərhəd (BVA), edge case, UI və lokalizasiya testləri; scope Test Plan sheet-indədir; regression dəsti Gauge ilə avtomatlaşdırılıb (bölmə 7)</t>
  </si>
  <si>
    <t>2. İcra nəticələri</t>
  </si>
  <si>
    <t>Göstərici</t>
  </si>
  <si>
    <t>Dəyər</t>
  </si>
  <si>
    <t>Planlaşdırılmış test case</t>
  </si>
  <si>
    <t>İcra olunub</t>
  </si>
  <si>
    <t>Blocked</t>
  </si>
  <si>
    <t>Pass rate (icra olunanlardan)</t>
  </si>
  <si>
    <t>İcra əhatəsi</t>
  </si>
  <si>
    <t>Case</t>
  </si>
  <si>
    <t>Pass rate</t>
  </si>
  <si>
    <t>3. Defektlər (təsdiqlənmiş, status = New)</t>
  </si>
  <si>
    <t>Say</t>
  </si>
  <si>
    <t>Critical</t>
  </si>
  <si>
    <t>Təkrar yoxlanılmalı</t>
  </si>
  <si>
    <t>Bağlanıb (Rejected / Duplicate)</t>
  </si>
  <si>
    <t>4. Əsas tapıntılar</t>
  </si>
  <si>
    <t>• Əsas alış axını (kateqoriya → məhsul → səbət) işləyir: səbətə əlavə, miqdar, silmə və cəm hesablaması Pass oldu; Critical severity-li defekt tapılmadı.</t>
  </si>
  <si>
    <t>• Ən riskli sahə — qiymət, endirim və taksit məlumatının ekranlar arasında ardıcıllığı: eyni məhsul və eyni səbət üçün fərqli ekranlarda fərqli məbləğlər göstərilir (məs. BUG-032: qoruma proqramı PDP-də 539 ₼, səbətdə 538 ₼).</t>
  </si>
  <si>
    <t>• BUG-030 (High): checkout-da 300 ₼-dan az səbətdə kuryer haqqı mesajda yazılır, xülasədə isə 'Çatdırılma: Ödənişsiz' qalır və 'Ödəmək' dəyişmir.</t>
  </si>
  <si>
    <t>• BUG-024: səbətdə '−15% VİSA' endirimi şərtsiz qiymət kimi göstərilir (AirPods 289 → 246 ₼), taksit pəncərəsində isə 289 ₼ — eyni səbətin iki cəmi (3 835 və 3 878 ₼).</t>
  </si>
  <si>
    <t>• BUG-017: taksit pəncərəsində 'aylıq × ödəniş sayı' heç bir müddətdə ümumi məbləğə bərabər deyil (iPhone 18 Pro: 199 × 18 = 3 582 ≠ 3 589 ₼; Beosound A9: 667 × 9 = 6 003 ≠ 5 999 ₼). BUG-016: 9 ₼-lıq keysdə '1 ₼ × 18' = 18 ₼.</t>
  </si>
  <si>
    <t>• BUG-029: müddət düyməsindəki aylıq məbləğ seçilmiş tərəfdaşa görə yenilənmir — Leobank seçili ikən düymədə UCard-ın 199 ₼-ı qalır (Leobank: 217 ₼).</t>
  </si>
  <si>
    <t>• Səbət və checkout: BUG-027 (ön sifariş məhsulu xəbərdarlıqsız eyni səbətə düşür), BUG-028 (checkout-dakı çatdırılma qiyməti 'Çatdırılma və ödəniş' səhifəsi ilə uyğun deyil), BUG-031 (Bakıdan kənar şəhər seçildikdə rayon çatdırılma şərtləri göstərilmir).</t>
  </si>
  <si>
    <t>• Filtr və lokalizasiya: BUG-021 (filtr dəyəri PDP göstəricisi ilə uyğun deyil), BUG-022 (dil dəyişəndə filtrlər silinir), BUG-011, BUG-020, BUG-023 (tərcümə olunmamış mətnlər).</t>
  </si>
  <si>
    <t>5. Müşahidələr və təkmilləşdirmə təklifləri (bug deyil)</t>
  </si>
  <si>
    <t>ID</t>
  </si>
  <si>
    <t>Müşahidə</t>
  </si>
  <si>
    <t>Mənbə</t>
  </si>
  <si>
    <t>OBS-01</t>
  </si>
  <si>
    <t>Qiymət filtrində min &gt; max olduqda ümumi 'Məhsul tapılmadı' göstərilir; səbəbi izah edən mesaj və ya dəyərlərin avtomatik yer dəyişməsi daha yaxşı olardı.</t>
  </si>
  <si>
    <t>OBS-02</t>
  </si>
  <si>
    <t>Şəkil böyüdüləndə ayrıca şəkil yox, bütün səhifə böyüyür; lightbox/zoom tövsiyə olunur.</t>
  </si>
  <si>
    <t>Kəşf (EXP-04)</t>
  </si>
  <si>
    <t>OBS-03</t>
  </si>
  <si>
    <t>'airp' qismən sorğusunda AirPods ilə yanaşı adında 'Air' olan digər məhsullar da göstərilir — relevantlıq sıralaması yaxşılaşdırıla bilər.</t>
  </si>
  <si>
    <t>OBS-04</t>
  </si>
  <si>
    <t>Düzgün söz + xüsusi simvol sorğusu ('iphone "17" &amp; %') nəticə vermir; simvolların təmizlənməsi tövsiyə olunur.</t>
  </si>
  <si>
    <t>OBS-05</t>
  </si>
  <si>
    <t>Stokda olmayan məhsullarda 'Ön sifariş' və 'Mənə xəbər ver' düymələrinin seçilmə məntiqi açıq deyil.</t>
  </si>
  <si>
    <t>OBS-06</t>
  </si>
  <si>
    <t>Səbətdə '+' düyməsi kliklərə gecikmə ilə reaksiya verir; ardıcıl kliklərdə istifadəçi nəticəni gec görür.</t>
  </si>
  <si>
    <t>OBS-07</t>
  </si>
  <si>
    <t>'Məhsul tipi' filtrinin yalnız bir dəyəri var və nəticəni dəyişmir — istifadəçiyə fayda verməyən qrupun gizlədilməsi tövsiyə olunur.</t>
  </si>
  <si>
    <t>Kəşf (EXP-02)</t>
  </si>
  <si>
    <t>6. Açıq məsələlər və risklər</t>
  </si>
  <si>
    <t>• BUG-003 (səbət sayğacı '4') təmiz sessiyada təkrar yoxlandı (TC_CART_EDGE_025, TC_CART_EDGE_028 — Pass): səbəb əvvəlki case-lərdən qalan səbət idi → Rejected. Nəticə: hər səbət case-i yeni inkognito sessiyada başlayır.</t>
  </si>
  <si>
    <t>• 10.10 təkrar yoxlamasında BUG-002 (qoruma proqramının ləğvi), BUG-007 ('1 kliklə al' validasiyası), BUG-018 (endirimli məhsulun taksiti) və BUG-026 (mini-səbətdə variant) təkrarlanmadı → Rejected. Açıq təkrar yoxlama qalmayıb.</t>
  </si>
  <si>
    <t>• İcradan əvvəlki müşahidələrdən icrada təsdiqlənməyənlər (BUG-001, BUG-008, BUG-009, BUG-010, BUG-012, BUG-013, BUG-014, BUG-015, BUG-019) Rejected edildi; BUG-004 BUG-003-nın dublikatıdır. Naviqasiya modulu scope-dan çıxarıldı.</t>
  </si>
  <si>
    <t>• Checkout: prodda real sifariş riski səbəbindən yalnız göndərmədən yoxlanıla bilən case-lər icra olundu (telefon və e-poçt validasiyası, çatdırılma haqqı); sifariş göndərilmədi. Tapıntılar: BUG-025, BUG-028, BUG-030. İcra edilməmiş 17 case (taksit və səbət) və digər checkout case-ləri dəstdən çıxarılıb.</t>
  </si>
  <si>
    <t>• Prod mühitində test: stok və qiymətlər dəyişkəndir, ona görə avtomat testlər konkret dəyərə deyil, uyğunluq qaydalarına (BR — RTM-də) əsaslanır.</t>
  </si>
  <si>
    <t>7. Avtomatlaşdırmaya təsiri</t>
  </si>
  <si>
    <t>• Regression dəsti 40 case-dir; manual icrada 37-i Pass. 16.10.2026 tarixinə 38-i (95%) Gauge ilə avtomatlaşdırılıb: 35-i Pass, 3-ü bilinən bug səbəbindən gözlənildiyi kimi FAIL olur və 'known-bug' tag-ı ilə ayrılır (TC_FIN_POS_003 / BUG-017, TC_FIN_BVA_006 / BUG-016, TC_CART_POS_009 / BUG-032). TC_CART_POS_012 və TC_FIN_POS_016 prod-da real sifariş/maliyyə axınına girdiyi üçün manual regression kimi qalır. Regression-dan kənar 13 case də avtomatlaşdırılıb — ümumilikdə 126 case-dən 51-i (40%) avtomatdır.</t>
  </si>
  <si>
    <t>• Fail olan regression case-lərin hamısı pul məbləği ilə bağlıdır (taksit və səbət) — avtomat testlərdə bu sahə dəqiq hesablama assertion-ları ilə yoxlanılır (qiymət × miqdar, sətirlərin cəmi, aylıq × ödəniş sayı). Avtomat icra yeni bug tapdı: BUG-032 (qoruma proqramının qiyməti PDP-də 539 ₼, səbətdə 538 ₼).</t>
  </si>
  <si>
    <t>• Fail olan manual case-lər (lokalizasiya, checkout) regression-a daxil deyil; onların bug-ları düzəldiləndə təkrar yoxlama manual aparılır.</t>
  </si>
  <si>
    <t>• Səbət avtomat testləri hər ssenaridə təmiz brauzer sessiyası ilə işləyir. 15.10: iSpace məhsul səhifəsində A/B test (GrowthBook 'pdp_v2') başlatdı və səbət səhifəsinin HTML-ini dəyişdi — testlərin bir hissəsi düşdü. Düzəliş: A/B variantı cookie ilə sabitləndi (gb-exp = pdp_v2:0), səbət locator-ları yeniləndi, səbət/PDP testləri konkret məhsul URL-i əvəzinə 'Mövcuddur' siyahısından ilk məhsulla işləyir (stokdan asılı deyil). 16.10: A/B variantı bəzən yenə dəyişdiyi üçün 'görünənə qədər A/B testini köhnə dizayna qaytar' addımı əlavə olundu (cookie yenidən qoyulur, ən çox 3 cəhd); konkret məhsula bağlı TC_PDP_POS_004 stokdakı variantın icra zamanı seçilməsinə keçirildi. Son icra 16.10.2026: 48 Pass + 3 known-bug gözlənilən FAIL.</t>
  </si>
  <si>
    <t>8. Nəticə</t>
  </si>
  <si>
    <t>Saytın əsas alış axını (kataloq → məhsul → səbət) işləyir və Critical severity-li defekt tapılmadı. Ən zəif sahə qiymət, endirim, taksit və çatdırılma məbləğlərinin ekranlar arasında ardıcıllığıdır (BUG-016, BUG-017, BUG-024, BUG-029, BUG-030, BUG-032) — bunlar müştərinin ödəyəcəyi məbləğ barədə yanlış təsəvvür yaradır. Release öncəsi düzəldilməsi tövsiyə olunanlar: BUG-030 (High), BUG-024, BUG-017 və BUG-016 (P2), sonra BUG-029, BUG-021, BUG-022.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</si>
</sst>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4"/>
      <color rgb="FF1F3864"/>
      <name val="Arial"/>
      <charset val="1"/>
    </font>
    <font>
      <i/>
      <sz val="9"/>
      <color rgb="FF595959"/>
      <name val="Arial"/>
      <charset val="1"/>
    </font>
    <font>
      <b/>
      <sz val="12"/>
      <color rgb="FF1F3864"/>
      <name val="Arial"/>
      <family val="2"/>
      <charset val="1"/>
    </font>
    <font>
      <b/>
      <sz val="12"/>
      <name val="Arial"/>
      <family val="2"/>
      <charset val="1"/>
    </font>
    <font>
      <sz val="12"/>
      <name val="Arial"/>
      <family val="2"/>
      <charset val="1"/>
    </font>
    <font>
      <sz val="12"/>
      <color theme="1"/>
      <name val="Arial"/>
      <family val="2"/>
      <charset val="1"/>
    </font>
    <font>
      <b/>
      <sz val="12"/>
      <color theme="3"/>
      <name val="Arial"/>
      <family val="2"/>
      <charset val="1"/>
    </font>
    <font>
      <sz val="12"/>
      <color rgb="FFFF0000"/>
      <name val="Arial"/>
      <family val="2"/>
      <charset val="1"/>
    </font>
    <font>
      <b/>
      <sz val="14"/>
      <color theme="3"/>
      <name val="Arial"/>
      <family val="2"/>
      <charset val="1"/>
    </font>
    <font>
      <sz val="11"/>
      <color theme="3"/>
      <name val="Calibri"/>
      <family val="2"/>
      <charset val="1"/>
    </font>
    <font>
      <sz val="12"/>
      <color theme="1" tint="4.9897762993255407E-2"/>
      <name val="Arial"/>
      <family val="2"/>
      <charset val="1"/>
    </font>
    <font>
      <b/>
      <sz val="12"/>
      <color theme="1" tint="4.9897762993255407E-2"/>
      <name val="Arial"/>
      <family val="2"/>
      <charset val="1"/>
    </font>
    <font>
      <sz val="11"/>
      <color theme="1"/>
      <name val="Arial"/>
      <family val="2"/>
      <charset val="1"/>
    </font>
    <font>
      <b/>
      <sz val="9"/>
      <name val="Arial"/>
      <charset val="1"/>
    </font>
    <font>
      <sz val="12"/>
      <color theme="1"/>
      <name val="Calibri"/>
      <family val="2"/>
      <charset val="1"/>
    </font>
    <font>
      <b/>
      <sz val="12"/>
      <color rgb="FFFFFFFF"/>
      <name val="Arial"/>
      <family val="2"/>
      <charset val="1"/>
    </font>
  </fonts>
  <fills count="11">
    <fill>
      <patternFill patternType="none"/>
    </fill>
    <fill>
      <patternFill patternType="gray125"/>
    </fill>
    <fill>
      <patternFill patternType="solid">
        <fgColor rgb="FFD9E1F2"/>
        <bgColor rgb="FFDCE6F2"/>
      </patternFill>
    </fill>
    <fill>
      <patternFill patternType="solid">
        <fgColor theme="4" tint="0.79989013336588644"/>
        <bgColor rgb="FFD9E1F2"/>
      </patternFill>
    </fill>
    <fill>
      <patternFill patternType="solid">
        <fgColor rgb="FFE2EFDA"/>
        <bgColor rgb="FFEDEDED"/>
      </patternFill>
    </fill>
    <fill>
      <patternFill patternType="solid">
        <fgColor rgb="FFFCE4D6"/>
        <bgColor rgb="FFFCE4E4"/>
      </patternFill>
    </fill>
    <fill>
      <patternFill patternType="solid">
        <fgColor rgb="FFEDEDED"/>
        <bgColor rgb="FFE2EFDA"/>
      </patternFill>
    </fill>
    <fill>
      <patternFill patternType="solid">
        <fgColor rgb="FFFFEB9C"/>
        <bgColor rgb="FFFFF2CC"/>
      </patternFill>
    </fill>
    <fill>
      <patternFill patternType="solid">
        <fgColor rgb="FFFFC7CE"/>
        <bgColor rgb="FFFCE4D6"/>
      </patternFill>
    </fill>
    <fill>
      <patternFill patternType="solid">
        <fgColor rgb="FFFFF2CC"/>
        <bgColor rgb="FFFCE4D6"/>
      </patternFill>
    </fill>
    <fill>
      <patternFill patternType="solid">
        <fgColor rgb="FF1F3864"/>
        <bgColor rgb="FF1F497D"/>
      </patternFill>
    </fill>
  </fills>
  <borders count="7">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bottom style="thin">
        <color rgb="FFBFBFBF"/>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0">
    <xf numFmtId="0" fontId="0" fillId="0" borderId="0" xfId="0"/>
    <xf numFmtId="0" fontId="5" fillId="0" borderId="1" xfId="0" applyFont="1" applyBorder="1" applyAlignment="1">
      <alignment vertical="top" wrapText="1"/>
    </xf>
    <xf numFmtId="0" fontId="6" fillId="0" borderId="0" xfId="0" applyFont="1" applyAlignment="1">
      <alignment horizontal="center"/>
    </xf>
    <xf numFmtId="0" fontId="6" fillId="0" borderId="1" xfId="0" applyFont="1" applyBorder="1" applyAlignment="1">
      <alignment horizontal="center"/>
    </xf>
    <xf numFmtId="9" fontId="5"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0" fontId="16" fillId="1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2" fillId="0" borderId="0" xfId="0" applyFont="1"/>
    <xf numFmtId="0" fontId="3" fillId="2" borderId="1" xfId="0" applyFont="1" applyFill="1" applyBorder="1" applyAlignment="1">
      <alignment horizontal="left" vertical="center"/>
    </xf>
    <xf numFmtId="0" fontId="1" fillId="0" borderId="0" xfId="0" applyFont="1"/>
    <xf numFmtId="0" fontId="2" fillId="0" borderId="0" xfId="0" applyFont="1"/>
    <xf numFmtId="0" fontId="4" fillId="0" borderId="1" xfId="0" applyFont="1" applyBorder="1" applyAlignment="1">
      <alignment vertical="top" wrapText="1"/>
    </xf>
    <xf numFmtId="0" fontId="5" fillId="0" borderId="1" xfId="0" applyFont="1" applyBorder="1" applyAlignment="1">
      <alignment vertical="top" wrapText="1"/>
    </xf>
    <xf numFmtId="0" fontId="0" fillId="0" borderId="0" xfId="0" applyAlignment="1">
      <alignment horizontal="left" vertical="center"/>
    </xf>
    <xf numFmtId="0" fontId="0" fillId="0" borderId="0" xfId="0" applyAlignment="1">
      <alignment vertical="center"/>
    </xf>
    <xf numFmtId="0" fontId="7"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0" borderId="0" xfId="0" applyFont="1"/>
    <xf numFmtId="0" fontId="4" fillId="0" borderId="2" xfId="0" applyFont="1" applyBorder="1" applyAlignment="1">
      <alignment vertical="top" wrapText="1"/>
    </xf>
    <xf numFmtId="0" fontId="4" fillId="0" borderId="2"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9" fillId="0" borderId="0" xfId="0" applyFont="1"/>
    <xf numFmtId="0" fontId="10" fillId="0" borderId="0" xfId="0" applyFont="1"/>
    <xf numFmtId="0" fontId="5" fillId="0" borderId="1" xfId="0" applyFont="1" applyBorder="1" applyAlignment="1">
      <alignment horizontal="right" textRotation="90"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0" xfId="0" applyFont="1"/>
    <xf numFmtId="0" fontId="4" fillId="0" borderId="1" xfId="0" applyFont="1" applyBorder="1"/>
    <xf numFmtId="0" fontId="6" fillId="0" borderId="1" xfId="0" applyFont="1" applyBorder="1"/>
    <xf numFmtId="0" fontId="4" fillId="0" borderId="1" xfId="0" applyFont="1" applyBorder="1" applyAlignment="1">
      <alignment horizontal="center" textRotation="90"/>
    </xf>
    <xf numFmtId="0" fontId="14" fillId="0" borderId="0" xfId="0" applyFont="1"/>
    <xf numFmtId="0" fontId="14" fillId="0" borderId="0" xfId="0" applyFont="1" applyAlignment="1">
      <alignment horizontal="center" textRotation="90"/>
    </xf>
    <xf numFmtId="0" fontId="4" fillId="0" borderId="0" xfId="0" applyFont="1" applyAlignment="1">
      <alignment horizontal="center" vertical="center" wrapText="1"/>
    </xf>
    <xf numFmtId="0" fontId="5" fillId="0" borderId="0" xfId="0" applyFont="1" applyAlignment="1">
      <alignment horizontal="center" vertical="center" wrapText="1"/>
    </xf>
    <xf numFmtId="0" fontId="15" fillId="0" borderId="0" xfId="0" applyFont="1"/>
    <xf numFmtId="0" fontId="3" fillId="0" borderId="1"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4" fillId="0" borderId="1" xfId="0" applyFont="1" applyBorder="1" applyAlignment="1">
      <alignment horizontal="left" vertical="center" wrapText="1"/>
    </xf>
    <xf numFmtId="9" fontId="5" fillId="0" borderId="1" xfId="0" applyNumberFormat="1" applyFont="1" applyBorder="1" applyAlignment="1">
      <alignment horizontal="center" vertical="center" wrapText="1"/>
    </xf>
    <xf numFmtId="0" fontId="3" fillId="0" borderId="0" xfId="0" applyFont="1" applyAlignment="1">
      <alignment vertical="center"/>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5" fillId="0" borderId="3" xfId="0" applyFont="1" applyBorder="1" applyAlignment="1">
      <alignment vertical="top" wrapText="1"/>
    </xf>
    <xf numFmtId="0" fontId="5" fillId="0" borderId="4" xfId="0" applyFont="1" applyBorder="1" applyAlignment="1">
      <alignment vertical="top" wrapText="1"/>
    </xf>
    <xf numFmtId="0" fontId="5" fillId="0" borderId="5" xfId="0" applyFont="1" applyBorder="1" applyAlignment="1">
      <alignment vertical="top" wrapText="1"/>
    </xf>
    <xf numFmtId="0" fontId="3" fillId="2" borderId="3" xfId="0" applyFont="1" applyFill="1" applyBorder="1" applyAlignment="1">
      <alignment horizontal="left" vertical="center"/>
    </xf>
    <xf numFmtId="0" fontId="3" fillId="2" borderId="5" xfId="0" applyFont="1" applyFill="1" applyBorder="1" applyAlignment="1">
      <alignment horizontal="left" vertical="center"/>
    </xf>
  </cellXfs>
  <cellStyles count="1">
    <cellStyle name="Normal" xfId="0" builtinId="0"/>
  </cellStyles>
  <dxfs count="7">
    <dxf>
      <fill>
        <patternFill>
          <bgColor rgb="FFFCE4E4"/>
        </patternFill>
      </fill>
    </dxf>
    <dxf>
      <fill>
        <patternFill>
          <bgColor rgb="FFE2EFDA"/>
        </patternFill>
      </fill>
    </dxf>
    <dxf>
      <fill>
        <patternFill>
          <bgColor rgb="FFE2EFDA"/>
        </patternFill>
      </fill>
    </dxf>
    <dxf>
      <fill>
        <patternFill>
          <bgColor rgb="FFFCE4E4"/>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6EFCE"/>
      <rgbColor rgb="FFFFEB9C"/>
      <rgbColor rgb="FFEDEDED"/>
      <rgbColor rgb="FFFCE4D6"/>
      <rgbColor rgb="FFFCE4E4"/>
      <rgbColor rgb="FFFFC7CE"/>
      <rgbColor rgb="FF3366FF"/>
      <rgbColor rgb="FF33CCCC"/>
      <rgbColor rgb="FF99CC00"/>
      <rgbColor rgb="FFFFCC00"/>
      <rgbColor rgb="FFFF9900"/>
      <rgbColor rgb="FFFF6600"/>
      <rgbColor rgb="FF595959"/>
      <rgbColor rgb="FF969696"/>
      <rgbColor rgb="FF1F3864"/>
      <rgbColor rgb="FF339966"/>
      <rgbColor rgb="FF0D0D0D"/>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
  <sheetViews>
    <sheetView zoomScaleNormal="100" workbookViewId="0">
      <selection activeCell="B62" sqref="B62"/>
    </sheetView>
  </sheetViews>
  <sheetFormatPr defaultColWidth="8.6640625" defaultRowHeight="14.4" x14ac:dyDescent="0.3"/>
  <cols>
    <col min="1" max="1" width="34" customWidth="1"/>
    <col min="2" max="2" width="110" customWidth="1"/>
  </cols>
  <sheetData>
    <row r="1" spans="1:2" ht="17.25" customHeight="1" x14ac:dyDescent="0.3">
      <c r="A1" s="11" t="s">
        <v>0</v>
      </c>
    </row>
    <row r="2" spans="1:2" ht="15" customHeight="1" x14ac:dyDescent="0.3">
      <c r="A2" s="12"/>
    </row>
    <row r="4" spans="1:2" ht="24.75" customHeight="1" x14ac:dyDescent="0.3">
      <c r="A4" s="10" t="s">
        <v>1</v>
      </c>
      <c r="B4" s="10"/>
    </row>
    <row r="5" spans="1:2" ht="42" customHeight="1" x14ac:dyDescent="0.3">
      <c r="A5" s="13" t="s">
        <v>2</v>
      </c>
      <c r="B5" s="14" t="s">
        <v>3</v>
      </c>
    </row>
    <row r="6" spans="1:2" ht="42" customHeight="1" x14ac:dyDescent="0.3">
      <c r="A6" s="13" t="s">
        <v>4</v>
      </c>
      <c r="B6" s="14" t="s">
        <v>5</v>
      </c>
    </row>
    <row r="7" spans="1:2" ht="42" customHeight="1" x14ac:dyDescent="0.3">
      <c r="A7" s="13" t="s">
        <v>6</v>
      </c>
      <c r="B7" s="14" t="s">
        <v>7</v>
      </c>
    </row>
    <row r="8" spans="1:2" ht="42" customHeight="1" x14ac:dyDescent="0.3">
      <c r="A8" s="13" t="s">
        <v>8</v>
      </c>
      <c r="B8" s="14" t="s">
        <v>9</v>
      </c>
    </row>
    <row r="9" spans="1:2" s="15" customFormat="1" ht="21.75" customHeight="1" x14ac:dyDescent="0.3">
      <c r="A9" s="10" t="s">
        <v>10</v>
      </c>
      <c r="B9" s="10"/>
    </row>
    <row r="10" spans="1:2" ht="42.75" customHeight="1" x14ac:dyDescent="0.3">
      <c r="A10" s="13" t="s">
        <v>11</v>
      </c>
      <c r="B10" s="14" t="s">
        <v>12</v>
      </c>
    </row>
    <row r="11" spans="1:2" ht="42.75" customHeight="1" x14ac:dyDescent="0.3">
      <c r="A11" s="13" t="s">
        <v>13</v>
      </c>
      <c r="B11" s="14" t="s">
        <v>14</v>
      </c>
    </row>
    <row r="12" spans="1:2" ht="60.75" customHeight="1" x14ac:dyDescent="0.3">
      <c r="A12" s="13" t="s">
        <v>15</v>
      </c>
      <c r="B12" s="14" t="s">
        <v>16</v>
      </c>
    </row>
    <row r="13" spans="1:2" ht="53.25" customHeight="1" x14ac:dyDescent="0.3">
      <c r="A13" s="13" t="s">
        <v>17</v>
      </c>
      <c r="B13" s="14" t="s">
        <v>18</v>
      </c>
    </row>
    <row r="14" spans="1:2" ht="42.75" customHeight="1" x14ac:dyDescent="0.3">
      <c r="A14" s="13" t="s">
        <v>19</v>
      </c>
      <c r="B14" s="14" t="s">
        <v>20</v>
      </c>
    </row>
    <row r="15" spans="1:2" s="15" customFormat="1" ht="24" customHeight="1" x14ac:dyDescent="0.3">
      <c r="A15" s="10" t="s">
        <v>21</v>
      </c>
      <c r="B15" s="10"/>
    </row>
    <row r="16" spans="1:2" ht="66.75" customHeight="1" x14ac:dyDescent="0.3">
      <c r="A16" s="13" t="s">
        <v>22</v>
      </c>
      <c r="B16" s="14" t="s">
        <v>23</v>
      </c>
    </row>
    <row r="17" spans="1:2" ht="42" customHeight="1" x14ac:dyDescent="0.3">
      <c r="A17" s="13" t="s">
        <v>24</v>
      </c>
      <c r="B17" s="14" t="s">
        <v>25</v>
      </c>
    </row>
    <row r="18" spans="1:2" ht="42" customHeight="1" x14ac:dyDescent="0.3">
      <c r="A18" s="13" t="s">
        <v>26</v>
      </c>
      <c r="B18" s="14" t="s">
        <v>27</v>
      </c>
    </row>
    <row r="19" spans="1:2" ht="42" customHeight="1" x14ac:dyDescent="0.3">
      <c r="A19" s="13" t="s">
        <v>28</v>
      </c>
      <c r="B19" s="14" t="s">
        <v>29</v>
      </c>
    </row>
    <row r="20" spans="1:2" ht="42" customHeight="1" x14ac:dyDescent="0.3">
      <c r="A20" s="13" t="s">
        <v>30</v>
      </c>
      <c r="B20" s="14" t="s">
        <v>31</v>
      </c>
    </row>
    <row r="21" spans="1:2" ht="42" customHeight="1" x14ac:dyDescent="0.3">
      <c r="A21" s="13" t="s">
        <v>32</v>
      </c>
      <c r="B21" s="14" t="s">
        <v>33</v>
      </c>
    </row>
    <row r="22" spans="1:2" ht="42" customHeight="1" x14ac:dyDescent="0.3">
      <c r="A22" s="13" t="s">
        <v>34</v>
      </c>
      <c r="B22" s="14" t="s">
        <v>35</v>
      </c>
    </row>
    <row r="23" spans="1:2" ht="42" customHeight="1" x14ac:dyDescent="0.3">
      <c r="A23" s="13" t="s">
        <v>36</v>
      </c>
      <c r="B23" s="14" t="s">
        <v>37</v>
      </c>
    </row>
    <row r="24" spans="1:2" ht="42" customHeight="1" x14ac:dyDescent="0.3">
      <c r="A24" s="13" t="s">
        <v>38</v>
      </c>
      <c r="B24" s="14" t="s">
        <v>39</v>
      </c>
    </row>
    <row r="25" spans="1:2" s="16" customFormat="1" ht="29.25" customHeight="1" x14ac:dyDescent="0.3">
      <c r="A25" s="10" t="s">
        <v>40</v>
      </c>
      <c r="B25" s="10"/>
    </row>
    <row r="26" spans="1:2" ht="48" customHeight="1" x14ac:dyDescent="0.3">
      <c r="A26" s="13" t="s">
        <v>41</v>
      </c>
      <c r="B26" s="14" t="s">
        <v>42</v>
      </c>
    </row>
    <row r="27" spans="1:2" ht="48" customHeight="1" x14ac:dyDescent="0.3">
      <c r="A27" s="13" t="s">
        <v>43</v>
      </c>
      <c r="B27" s="14" t="s">
        <v>44</v>
      </c>
    </row>
    <row r="28" spans="1:2" ht="48" customHeight="1" x14ac:dyDescent="0.3">
      <c r="A28" s="13" t="s">
        <v>45</v>
      </c>
      <c r="B28" s="14" t="s">
        <v>46</v>
      </c>
    </row>
    <row r="29" spans="1:2" ht="48" customHeight="1" x14ac:dyDescent="0.3">
      <c r="A29" s="13" t="s">
        <v>47</v>
      </c>
      <c r="B29" s="14" t="s">
        <v>48</v>
      </c>
    </row>
    <row r="30" spans="1:2" ht="48" customHeight="1" x14ac:dyDescent="0.3">
      <c r="A30" s="13" t="s">
        <v>49</v>
      </c>
      <c r="B30" s="14" t="s">
        <v>50</v>
      </c>
    </row>
    <row r="31" spans="1:2" ht="48" customHeight="1" x14ac:dyDescent="0.3">
      <c r="A31" s="13" t="s">
        <v>51</v>
      </c>
      <c r="B31" s="14" t="s">
        <v>52</v>
      </c>
    </row>
    <row r="32" spans="1:2" ht="48" customHeight="1" x14ac:dyDescent="0.3">
      <c r="A32" s="13" t="s">
        <v>53</v>
      </c>
      <c r="B32" s="14" t="s">
        <v>54</v>
      </c>
    </row>
    <row r="33" spans="1:2" s="16" customFormat="1" ht="28.5" customHeight="1" x14ac:dyDescent="0.3">
      <c r="A33" s="10" t="s">
        <v>55</v>
      </c>
      <c r="B33" s="10"/>
    </row>
    <row r="34" spans="1:2" ht="37.5" customHeight="1" x14ac:dyDescent="0.3">
      <c r="A34" s="13" t="s">
        <v>56</v>
      </c>
      <c r="B34" s="14" t="s">
        <v>57</v>
      </c>
    </row>
    <row r="35" spans="1:2" ht="37.5" customHeight="1" x14ac:dyDescent="0.3">
      <c r="A35" s="13" t="s">
        <v>58</v>
      </c>
      <c r="B35" s="14" t="s">
        <v>59</v>
      </c>
    </row>
    <row r="36" spans="1:2" ht="37.5" customHeight="1" x14ac:dyDescent="0.3">
      <c r="A36" s="13" t="s">
        <v>60</v>
      </c>
      <c r="B36" s="14" t="s">
        <v>61</v>
      </c>
    </row>
    <row r="37" spans="1:2" s="16" customFormat="1" ht="24.75" customHeight="1" x14ac:dyDescent="0.3">
      <c r="A37" s="10" t="s">
        <v>62</v>
      </c>
      <c r="B37" s="10"/>
    </row>
    <row r="38" spans="1:2" ht="39" customHeight="1" x14ac:dyDescent="0.3">
      <c r="A38" s="13" t="s">
        <v>63</v>
      </c>
      <c r="B38" s="14" t="s">
        <v>64</v>
      </c>
    </row>
    <row r="39" spans="1:2" ht="39" customHeight="1" x14ac:dyDescent="0.3">
      <c r="A39" s="13" t="s">
        <v>65</v>
      </c>
      <c r="B39" s="14" t="s">
        <v>66</v>
      </c>
    </row>
    <row r="40" spans="1:2" ht="39" customHeight="1" x14ac:dyDescent="0.3">
      <c r="A40" s="13" t="s">
        <v>67</v>
      </c>
      <c r="B40" s="14" t="s">
        <v>68</v>
      </c>
    </row>
    <row r="41" spans="1:2" s="16" customFormat="1" ht="22.5" customHeight="1" x14ac:dyDescent="0.3">
      <c r="A41" s="10" t="s">
        <v>69</v>
      </c>
      <c r="B41" s="10"/>
    </row>
    <row r="42" spans="1:2" ht="42" customHeight="1" x14ac:dyDescent="0.3">
      <c r="A42" s="13" t="s">
        <v>70</v>
      </c>
      <c r="B42" s="14" t="s">
        <v>71</v>
      </c>
    </row>
    <row r="43" spans="1:2" ht="42" customHeight="1" x14ac:dyDescent="0.3">
      <c r="A43" s="13" t="s">
        <v>72</v>
      </c>
      <c r="B43" s="14" t="s">
        <v>73</v>
      </c>
    </row>
    <row r="44" spans="1:2" ht="42" customHeight="1" x14ac:dyDescent="0.3">
      <c r="A44" s="13" t="s">
        <v>74</v>
      </c>
      <c r="B44" s="14" t="s">
        <v>75</v>
      </c>
    </row>
    <row r="45" spans="1:2" ht="42" customHeight="1" x14ac:dyDescent="0.3">
      <c r="A45" s="13" t="s">
        <v>76</v>
      </c>
      <c r="B45" s="14" t="s">
        <v>77</v>
      </c>
    </row>
    <row r="46" spans="1:2" ht="42" customHeight="1" x14ac:dyDescent="0.3">
      <c r="A46" s="13" t="s">
        <v>78</v>
      </c>
      <c r="B46" s="14" t="s">
        <v>79</v>
      </c>
    </row>
    <row r="47" spans="1:2" s="16" customFormat="1" ht="27.75" customHeight="1" x14ac:dyDescent="0.3">
      <c r="A47" s="10" t="s">
        <v>80</v>
      </c>
      <c r="B47" s="10"/>
    </row>
    <row r="48" spans="1:2" ht="44.25" customHeight="1" x14ac:dyDescent="0.3">
      <c r="A48" s="13" t="s">
        <v>81</v>
      </c>
      <c r="B48" s="14" t="s">
        <v>82</v>
      </c>
    </row>
    <row r="49" spans="1:2" s="16" customFormat="1" ht="33" customHeight="1" x14ac:dyDescent="0.3">
      <c r="A49" s="10" t="s">
        <v>83</v>
      </c>
      <c r="B49" s="10"/>
    </row>
    <row r="50" spans="1:2" ht="57" customHeight="1" x14ac:dyDescent="0.3">
      <c r="A50" s="13" t="s">
        <v>84</v>
      </c>
      <c r="B50" s="14" t="s">
        <v>85</v>
      </c>
    </row>
    <row r="51" spans="1:2" ht="72" customHeight="1" x14ac:dyDescent="0.3">
      <c r="A51" s="13" t="s">
        <v>86</v>
      </c>
      <c r="B51" s="14" t="s">
        <v>87</v>
      </c>
    </row>
    <row r="52" spans="1:2" s="16" customFormat="1" ht="25.5" customHeight="1" x14ac:dyDescent="0.3">
      <c r="A52" s="10" t="s">
        <v>88</v>
      </c>
      <c r="B52" s="10"/>
    </row>
    <row r="53" spans="1:2" ht="36.75" customHeight="1" x14ac:dyDescent="0.3">
      <c r="A53" s="13" t="s">
        <v>89</v>
      </c>
      <c r="B53" s="14" t="s">
        <v>90</v>
      </c>
    </row>
    <row r="54" spans="1:2" s="16" customFormat="1" ht="26.25" customHeight="1" x14ac:dyDescent="0.3">
      <c r="A54" s="10" t="s">
        <v>91</v>
      </c>
      <c r="B54" s="10"/>
    </row>
    <row r="55" spans="1:2" ht="38.25" customHeight="1" x14ac:dyDescent="0.3">
      <c r="A55" s="13" t="s">
        <v>92</v>
      </c>
      <c r="B55" s="14" t="s">
        <v>93</v>
      </c>
    </row>
    <row r="56" spans="1:2" ht="38.25" customHeight="1" x14ac:dyDescent="0.3">
      <c r="A56" s="13" t="s">
        <v>94</v>
      </c>
      <c r="B56" s="14" t="s">
        <v>95</v>
      </c>
    </row>
    <row r="57" spans="1:2" ht="38.25" customHeight="1" x14ac:dyDescent="0.3">
      <c r="A57" s="13" t="s">
        <v>96</v>
      </c>
      <c r="B57" s="14" t="s">
        <v>97</v>
      </c>
    </row>
    <row r="58" spans="1:2" s="15" customFormat="1" ht="22.5" customHeight="1" x14ac:dyDescent="0.3">
      <c r="A58" s="58" t="s">
        <v>98</v>
      </c>
      <c r="B58" s="59"/>
    </row>
    <row r="59" spans="1:2" ht="21.75" customHeight="1" x14ac:dyDescent="0.3">
      <c r="A59" s="13" t="s">
        <v>99</v>
      </c>
      <c r="B59" s="14" t="s">
        <v>100</v>
      </c>
    </row>
  </sheetData>
  <mergeCells count="12">
    <mergeCell ref="A54:B54"/>
    <mergeCell ref="A58:B58"/>
    <mergeCell ref="A37:B37"/>
    <mergeCell ref="A41:B41"/>
    <mergeCell ref="A47:B47"/>
    <mergeCell ref="A49:B49"/>
    <mergeCell ref="A52:B52"/>
    <mergeCell ref="A4:B4"/>
    <mergeCell ref="A9:B9"/>
    <mergeCell ref="A15:B15"/>
    <mergeCell ref="A25:B25"/>
    <mergeCell ref="A33:B3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abSelected="1" zoomScaleNormal="100" workbookViewId="0">
      <pane ySplit="4" topLeftCell="A5" activePane="bottomLeft" state="frozen"/>
      <selection pane="bottomLeft" activeCell="C6" sqref="C6"/>
    </sheetView>
  </sheetViews>
  <sheetFormatPr defaultColWidth="8.6640625" defaultRowHeight="14.4" x14ac:dyDescent="0.3"/>
  <cols>
    <col min="1" max="1" width="15.33203125" customWidth="1"/>
    <col min="2" max="2" width="22" customWidth="1"/>
    <col min="3" max="3" width="70" customWidth="1"/>
    <col min="4" max="4" width="21.6640625" customWidth="1"/>
    <col min="5" max="5" width="39.88671875" customWidth="1"/>
    <col min="6" max="6" width="21.5546875" customWidth="1"/>
    <col min="7" max="7" width="14.5546875" customWidth="1"/>
    <col min="8" max="8" width="16" customWidth="1"/>
  </cols>
  <sheetData>
    <row r="1" spans="1:8" ht="17.25" customHeight="1" x14ac:dyDescent="0.3">
      <c r="A1" s="11" t="s">
        <v>101</v>
      </c>
    </row>
    <row r="2" spans="1:8" ht="15" customHeight="1" x14ac:dyDescent="0.3">
      <c r="A2" s="12"/>
    </row>
    <row r="4" spans="1:8" ht="35.25" customHeight="1" x14ac:dyDescent="0.3">
      <c r="A4" s="17" t="s">
        <v>102</v>
      </c>
      <c r="B4" s="17" t="s">
        <v>103</v>
      </c>
      <c r="C4" s="17" t="s">
        <v>104</v>
      </c>
      <c r="D4" s="17" t="s">
        <v>105</v>
      </c>
      <c r="E4" s="17" t="s">
        <v>106</v>
      </c>
      <c r="F4" s="17" t="s">
        <v>107</v>
      </c>
      <c r="G4" s="17" t="s">
        <v>108</v>
      </c>
      <c r="H4" s="17" t="s">
        <v>109</v>
      </c>
    </row>
    <row r="5" spans="1:8" ht="69.75" customHeight="1" x14ac:dyDescent="0.3">
      <c r="A5" s="18" t="s">
        <v>110</v>
      </c>
      <c r="B5" s="19" t="s">
        <v>111</v>
      </c>
      <c r="C5" s="14" t="s">
        <v>112</v>
      </c>
      <c r="D5" s="20" t="s">
        <v>113</v>
      </c>
      <c r="E5" s="19" t="s">
        <v>114</v>
      </c>
      <c r="F5" s="19">
        <f>COUNTIF('Web Test Cases'!$B$5:$B$130,A5)</f>
        <v>4</v>
      </c>
      <c r="G5" s="19">
        <f>COUNTIFS('Web Test Cases'!$B$5:$B$130,A5,'Web Test Cases'!$M$5:$M$130,"Avtomat")</f>
        <v>4</v>
      </c>
      <c r="H5" s="19">
        <f>COUNTIFS('Web Test Cases'!$B$5:$B$130,A5,'Web Test Cases'!$O$5:$O$130,"Bəli")</f>
        <v>4</v>
      </c>
    </row>
    <row r="6" spans="1:8" ht="69.75" customHeight="1" x14ac:dyDescent="0.3">
      <c r="A6" s="18" t="s">
        <v>115</v>
      </c>
      <c r="B6" s="19" t="s">
        <v>111</v>
      </c>
      <c r="C6" s="14" t="s">
        <v>116</v>
      </c>
      <c r="D6" s="19" t="s">
        <v>117</v>
      </c>
      <c r="E6" s="19" t="s">
        <v>118</v>
      </c>
      <c r="F6" s="19">
        <f>COUNTIF('Web Test Cases'!$B$5:$B$130,A6)</f>
        <v>9</v>
      </c>
      <c r="G6" s="19">
        <f>COUNTIFS('Web Test Cases'!$B$5:$B$130,A6,'Web Test Cases'!$M$5:$M$130,"Avtomat")</f>
        <v>7</v>
      </c>
      <c r="H6" s="19">
        <f>COUNTIFS('Web Test Cases'!$B$5:$B$130,A6,'Web Test Cases'!$O$5:$O$130,"Bəli")</f>
        <v>3</v>
      </c>
    </row>
    <row r="7" spans="1:8" ht="69.75" customHeight="1" x14ac:dyDescent="0.3">
      <c r="A7" s="18" t="s">
        <v>119</v>
      </c>
      <c r="B7" s="19" t="s">
        <v>111</v>
      </c>
      <c r="C7" s="14" t="s">
        <v>120</v>
      </c>
      <c r="D7" s="19" t="s">
        <v>117</v>
      </c>
      <c r="E7" s="19" t="s">
        <v>121</v>
      </c>
      <c r="F7" s="19">
        <f>COUNTIF('Web Test Cases'!$B$5:$B$130,A7)</f>
        <v>5</v>
      </c>
      <c r="G7" s="19">
        <f>COUNTIFS('Web Test Cases'!$B$5:$B$130,A7,'Web Test Cases'!$M$5:$M$130,"Avtomat")</f>
        <v>3</v>
      </c>
      <c r="H7" s="19">
        <f>COUNTIFS('Web Test Cases'!$B$5:$B$130,A7,'Web Test Cases'!$O$5:$O$130,"Bəli")</f>
        <v>2</v>
      </c>
    </row>
    <row r="8" spans="1:8" ht="69.75" customHeight="1" x14ac:dyDescent="0.3">
      <c r="A8" s="18" t="s">
        <v>122</v>
      </c>
      <c r="B8" s="19" t="s">
        <v>111</v>
      </c>
      <c r="C8" s="14" t="s">
        <v>123</v>
      </c>
      <c r="D8" s="19" t="s">
        <v>117</v>
      </c>
      <c r="E8" s="19" t="s">
        <v>124</v>
      </c>
      <c r="F8" s="19">
        <f>COUNTIF('Web Test Cases'!$B$5:$B$130,A8)</f>
        <v>5</v>
      </c>
      <c r="G8" s="19">
        <f>COUNTIFS('Web Test Cases'!$B$5:$B$130,A8,'Web Test Cases'!$M$5:$M$130,"Avtomat")</f>
        <v>4</v>
      </c>
      <c r="H8" s="19">
        <f>COUNTIFS('Web Test Cases'!$B$5:$B$130,A8,'Web Test Cases'!$O$5:$O$130,"Bəli")</f>
        <v>2</v>
      </c>
    </row>
    <row r="9" spans="1:8" ht="69.75" customHeight="1" x14ac:dyDescent="0.3">
      <c r="A9" s="18" t="s">
        <v>125</v>
      </c>
      <c r="B9" s="19" t="s">
        <v>111</v>
      </c>
      <c r="C9" s="14" t="s">
        <v>126</v>
      </c>
      <c r="D9" s="19" t="s">
        <v>117</v>
      </c>
      <c r="E9" s="19" t="s">
        <v>127</v>
      </c>
      <c r="F9" s="19">
        <f>COUNTIF('Web Test Cases'!$B$5:$B$130,A9)</f>
        <v>3</v>
      </c>
      <c r="G9" s="19">
        <f>COUNTIFS('Web Test Cases'!$B$5:$B$130,A9,'Web Test Cases'!$M$5:$M$130,"Avtomat")</f>
        <v>3</v>
      </c>
      <c r="H9" s="19">
        <f>COUNTIFS('Web Test Cases'!$B$5:$B$130,A9,'Web Test Cases'!$O$5:$O$130,"Bəli")</f>
        <v>1</v>
      </c>
    </row>
    <row r="10" spans="1:8" ht="69.75" customHeight="1" x14ac:dyDescent="0.3">
      <c r="A10" s="18" t="s">
        <v>128</v>
      </c>
      <c r="B10" s="19" t="s">
        <v>111</v>
      </c>
      <c r="C10" s="14" t="s">
        <v>129</v>
      </c>
      <c r="D10" s="19" t="s">
        <v>130</v>
      </c>
      <c r="E10" s="19" t="s">
        <v>131</v>
      </c>
      <c r="F10" s="19">
        <f>COUNTIF('Web Test Cases'!$B$5:$B$130,A10)</f>
        <v>5</v>
      </c>
      <c r="G10" s="19">
        <f>COUNTIFS('Web Test Cases'!$B$5:$B$130,A10,'Web Test Cases'!$M$5:$M$130,"Avtomat")</f>
        <v>3</v>
      </c>
      <c r="H10" s="19">
        <f>COUNTIFS('Web Test Cases'!$B$5:$B$130,A10,'Web Test Cases'!$O$5:$O$130,"Bəli")</f>
        <v>0</v>
      </c>
    </row>
    <row r="11" spans="1:8" ht="69.75" customHeight="1" x14ac:dyDescent="0.3">
      <c r="A11" s="18" t="s">
        <v>132</v>
      </c>
      <c r="B11" s="19" t="s">
        <v>111</v>
      </c>
      <c r="C11" s="14" t="s">
        <v>133</v>
      </c>
      <c r="D11" s="19" t="s">
        <v>117</v>
      </c>
      <c r="E11" s="19" t="s">
        <v>131</v>
      </c>
      <c r="F11" s="19">
        <f>COUNTIF('Web Test Cases'!$B$5:$B$130,A11)</f>
        <v>4</v>
      </c>
      <c r="G11" s="19">
        <f>COUNTIFS('Web Test Cases'!$B$5:$B$130,A11,'Web Test Cases'!$M$5:$M$130,"Avtomat")</f>
        <v>1</v>
      </c>
      <c r="H11" s="19">
        <f>COUNTIFS('Web Test Cases'!$B$5:$B$130,A11,'Web Test Cases'!$O$5:$O$130,"Bəli")</f>
        <v>0</v>
      </c>
    </row>
    <row r="12" spans="1:8" ht="69.75" customHeight="1" x14ac:dyDescent="0.3">
      <c r="A12" s="18" t="s">
        <v>134</v>
      </c>
      <c r="B12" s="19" t="s">
        <v>111</v>
      </c>
      <c r="C12" s="14" t="s">
        <v>135</v>
      </c>
      <c r="D12" s="19" t="s">
        <v>117</v>
      </c>
      <c r="E12" s="19" t="s">
        <v>118</v>
      </c>
      <c r="F12" s="19">
        <f>COUNTIF('Web Test Cases'!$B$5:$B$130,A12)</f>
        <v>4</v>
      </c>
      <c r="G12" s="19">
        <f>COUNTIFS('Web Test Cases'!$B$5:$B$130,A12,'Web Test Cases'!$M$5:$M$130,"Avtomat")</f>
        <v>2</v>
      </c>
      <c r="H12" s="19">
        <f>COUNTIFS('Web Test Cases'!$B$5:$B$130,A12,'Web Test Cases'!$O$5:$O$130,"Bəli")</f>
        <v>0</v>
      </c>
    </row>
    <row r="13" spans="1:8" ht="69.75" customHeight="1" x14ac:dyDescent="0.3">
      <c r="A13" s="18" t="s">
        <v>136</v>
      </c>
      <c r="B13" s="19" t="s">
        <v>111</v>
      </c>
      <c r="C13" s="14" t="s">
        <v>137</v>
      </c>
      <c r="D13" s="19" t="s">
        <v>117</v>
      </c>
      <c r="E13" s="19" t="s">
        <v>131</v>
      </c>
      <c r="F13" s="19">
        <f>COUNTIF('Web Test Cases'!$B$5:$B$130,A13)</f>
        <v>7</v>
      </c>
      <c r="G13" s="19">
        <f>COUNTIFS('Web Test Cases'!$B$5:$B$130,A13,'Web Test Cases'!$M$5:$M$130,"Avtomat")</f>
        <v>4</v>
      </c>
      <c r="H13" s="19">
        <f>COUNTIFS('Web Test Cases'!$B$5:$B$130,A13,'Web Test Cases'!$O$5:$O$130,"Bəli")</f>
        <v>2</v>
      </c>
    </row>
    <row r="14" spans="1:8" ht="69.75" customHeight="1" x14ac:dyDescent="0.3">
      <c r="A14" s="18" t="s">
        <v>138</v>
      </c>
      <c r="B14" s="19" t="s">
        <v>15</v>
      </c>
      <c r="C14" s="14" t="s">
        <v>139</v>
      </c>
      <c r="D14" s="20" t="s">
        <v>113</v>
      </c>
      <c r="E14" s="19" t="s">
        <v>140</v>
      </c>
      <c r="F14" s="19">
        <f>COUNTIF('Web Test Cases'!$B$5:$B$130,A14)</f>
        <v>3</v>
      </c>
      <c r="G14" s="19">
        <f>COUNTIFS('Web Test Cases'!$B$5:$B$130,A14,'Web Test Cases'!$M$5:$M$130,"Avtomat")</f>
        <v>2</v>
      </c>
      <c r="H14" s="19">
        <f>COUNTIFS('Web Test Cases'!$B$5:$B$130,A14,'Web Test Cases'!$O$5:$O$130,"Bəli")</f>
        <v>2</v>
      </c>
    </row>
    <row r="15" spans="1:8" ht="69.75" customHeight="1" x14ac:dyDescent="0.3">
      <c r="A15" s="18" t="s">
        <v>141</v>
      </c>
      <c r="B15" s="19" t="s">
        <v>15</v>
      </c>
      <c r="C15" s="14" t="s">
        <v>142</v>
      </c>
      <c r="D15" s="19" t="s">
        <v>117</v>
      </c>
      <c r="E15" s="19" t="s">
        <v>143</v>
      </c>
      <c r="F15" s="19">
        <f>COUNTIF('Web Test Cases'!$B$5:$B$130,A15)</f>
        <v>7</v>
      </c>
      <c r="G15" s="19">
        <f>COUNTIFS('Web Test Cases'!$B$5:$B$130,A15,'Web Test Cases'!$M$5:$M$130,"Avtomat")</f>
        <v>5</v>
      </c>
      <c r="H15" s="19">
        <f>COUNTIFS('Web Test Cases'!$B$5:$B$130,A15,'Web Test Cases'!$O$5:$O$130,"Bəli")</f>
        <v>3</v>
      </c>
    </row>
    <row r="16" spans="1:8" ht="69.75" customHeight="1" x14ac:dyDescent="0.3">
      <c r="A16" s="18" t="s">
        <v>144</v>
      </c>
      <c r="B16" s="19" t="s">
        <v>15</v>
      </c>
      <c r="C16" s="14" t="s">
        <v>145</v>
      </c>
      <c r="D16" s="19" t="s">
        <v>117</v>
      </c>
      <c r="E16" s="19" t="s">
        <v>146</v>
      </c>
      <c r="F16" s="19">
        <f>COUNTIF('Web Test Cases'!$B$5:$B$130,A16)</f>
        <v>2</v>
      </c>
      <c r="G16" s="19">
        <f>COUNTIFS('Web Test Cases'!$B$5:$B$130,A16,'Web Test Cases'!$M$5:$M$130,"Avtomat")</f>
        <v>1</v>
      </c>
      <c r="H16" s="19">
        <f>COUNTIFS('Web Test Cases'!$B$5:$B$130,A16,'Web Test Cases'!$O$5:$O$130,"Bəli")</f>
        <v>1</v>
      </c>
    </row>
    <row r="17" spans="1:8" ht="69.75" customHeight="1" x14ac:dyDescent="0.3">
      <c r="A17" s="18" t="s">
        <v>147</v>
      </c>
      <c r="B17" s="19" t="s">
        <v>148</v>
      </c>
      <c r="C17" s="14" t="s">
        <v>149</v>
      </c>
      <c r="D17" s="20" t="s">
        <v>113</v>
      </c>
      <c r="E17" s="19" t="s">
        <v>150</v>
      </c>
      <c r="F17" s="19">
        <f>COUNTIF('Web Test Cases'!$B$5:$B$130,A17)</f>
        <v>8</v>
      </c>
      <c r="G17" s="19">
        <f>COUNTIFS('Web Test Cases'!$B$5:$B$130,A17,'Web Test Cases'!$M$5:$M$130,"Avtomat")</f>
        <v>5</v>
      </c>
      <c r="H17" s="19">
        <f>COUNTIFS('Web Test Cases'!$B$5:$B$130,A17,'Web Test Cases'!$O$5:$O$130,"Bəli")</f>
        <v>5</v>
      </c>
    </row>
    <row r="18" spans="1:8" ht="69.75" customHeight="1" x14ac:dyDescent="0.3">
      <c r="A18" s="18" t="s">
        <v>151</v>
      </c>
      <c r="B18" s="19" t="s">
        <v>148</v>
      </c>
      <c r="C18" s="14" t="s">
        <v>152</v>
      </c>
      <c r="D18" s="20" t="s">
        <v>113</v>
      </c>
      <c r="E18" s="19" t="s">
        <v>153</v>
      </c>
      <c r="F18" s="19">
        <f>COUNTIF('Web Test Cases'!$B$5:$B$130,A18)</f>
        <v>8</v>
      </c>
      <c r="G18" s="19">
        <f>COUNTIFS('Web Test Cases'!$B$5:$B$130,A18,'Web Test Cases'!$M$5:$M$130,"Avtomat")</f>
        <v>6</v>
      </c>
      <c r="H18" s="19">
        <f>COUNTIFS('Web Test Cases'!$B$5:$B$130,A18,'Web Test Cases'!$O$5:$O$130,"Bəli")</f>
        <v>3</v>
      </c>
    </row>
    <row r="19" spans="1:8" ht="69.75" customHeight="1" x14ac:dyDescent="0.3">
      <c r="A19" s="18" t="s">
        <v>154</v>
      </c>
      <c r="B19" s="19" t="s">
        <v>17</v>
      </c>
      <c r="C19" s="14" t="s">
        <v>155</v>
      </c>
      <c r="D19" s="20" t="s">
        <v>113</v>
      </c>
      <c r="E19" s="19" t="s">
        <v>156</v>
      </c>
      <c r="F19" s="19">
        <f>COUNTIF('Web Test Cases'!$B$5:$B$130,A19)</f>
        <v>3</v>
      </c>
      <c r="G19" s="19">
        <f>COUNTIFS('Web Test Cases'!$B$5:$B$130,A19,'Web Test Cases'!$M$5:$M$130,"Avtomat")</f>
        <v>3</v>
      </c>
      <c r="H19" s="19">
        <f>COUNTIFS('Web Test Cases'!$B$5:$B$130,A19,'Web Test Cases'!$O$5:$O$130,"Bəli")</f>
        <v>3</v>
      </c>
    </row>
    <row r="20" spans="1:8" ht="69.75" customHeight="1" x14ac:dyDescent="0.3">
      <c r="A20" s="18" t="s">
        <v>157</v>
      </c>
      <c r="B20" s="19" t="s">
        <v>17</v>
      </c>
      <c r="C20" s="14" t="s">
        <v>158</v>
      </c>
      <c r="D20" s="20" t="s">
        <v>113</v>
      </c>
      <c r="E20" s="19" t="s">
        <v>159</v>
      </c>
      <c r="F20" s="19">
        <f>COUNTIF('Web Test Cases'!$B$5:$B$130,A20)</f>
        <v>6</v>
      </c>
      <c r="G20" s="19">
        <f>COUNTIFS('Web Test Cases'!$B$5:$B$130,A20,'Web Test Cases'!$M$5:$M$130,"Avtomat")</f>
        <v>6</v>
      </c>
      <c r="H20" s="19">
        <f>COUNTIFS('Web Test Cases'!$B$5:$B$130,A20,'Web Test Cases'!$O$5:$O$130,"Bəli")</f>
        <v>4</v>
      </c>
    </row>
    <row r="21" spans="1:8" ht="69.75" customHeight="1" x14ac:dyDescent="0.3">
      <c r="A21" s="18" t="s">
        <v>160</v>
      </c>
      <c r="B21" s="19" t="s">
        <v>17</v>
      </c>
      <c r="C21" s="14" t="s">
        <v>161</v>
      </c>
      <c r="D21" s="19" t="s">
        <v>117</v>
      </c>
      <c r="E21" s="19" t="s">
        <v>162</v>
      </c>
      <c r="F21" s="19">
        <f>COUNTIF('Web Test Cases'!$B$5:$B$130,A21)</f>
        <v>3</v>
      </c>
      <c r="G21" s="19">
        <f>COUNTIFS('Web Test Cases'!$B$5:$B$130,A21,'Web Test Cases'!$M$5:$M$130,"Avtomat")</f>
        <v>3</v>
      </c>
      <c r="H21" s="19">
        <f>COUNTIFS('Web Test Cases'!$B$5:$B$130,A21,'Web Test Cases'!$O$5:$O$130,"Bəli")</f>
        <v>2</v>
      </c>
    </row>
    <row r="22" spans="1:8" ht="69.75" customHeight="1" x14ac:dyDescent="0.3">
      <c r="A22" s="18" t="s">
        <v>163</v>
      </c>
      <c r="B22" s="19" t="s">
        <v>17</v>
      </c>
      <c r="C22" s="14" t="s">
        <v>164</v>
      </c>
      <c r="D22" s="19" t="s">
        <v>117</v>
      </c>
      <c r="E22" s="19" t="s">
        <v>165</v>
      </c>
      <c r="F22" s="19">
        <f>COUNTIF('Web Test Cases'!$B$5:$B$130,A22)</f>
        <v>4</v>
      </c>
      <c r="G22" s="19">
        <f>COUNTIFS('Web Test Cases'!$B$5:$B$130,A22,'Web Test Cases'!$M$5:$M$130,"Avtomat")</f>
        <v>2</v>
      </c>
      <c r="H22" s="19">
        <f>COUNTIFS('Web Test Cases'!$B$5:$B$130,A22,'Web Test Cases'!$O$5:$O$130,"Bəli")</f>
        <v>0</v>
      </c>
    </row>
    <row r="23" spans="1:8" ht="69.75" customHeight="1" x14ac:dyDescent="0.3">
      <c r="A23" s="18" t="s">
        <v>166</v>
      </c>
      <c r="B23" s="19" t="s">
        <v>17</v>
      </c>
      <c r="C23" s="14" t="s">
        <v>167</v>
      </c>
      <c r="D23" s="20" t="s">
        <v>113</v>
      </c>
      <c r="E23" s="19" t="s">
        <v>168</v>
      </c>
      <c r="F23" s="19">
        <f>COUNTIF('Web Test Cases'!$B$5:$B$130,A23)</f>
        <v>8</v>
      </c>
      <c r="G23" s="19">
        <f>COUNTIFS('Web Test Cases'!$B$5:$B$130,A23,'Web Test Cases'!$M$5:$M$130,"Avtomat")</f>
        <v>3</v>
      </c>
      <c r="H23" s="19">
        <f>COUNTIFS('Web Test Cases'!$B$5:$B$130,A23,'Web Test Cases'!$O$5:$O$130,"Bəli")</f>
        <v>2</v>
      </c>
    </row>
    <row r="24" spans="1:8" ht="69.75" customHeight="1" x14ac:dyDescent="0.3">
      <c r="A24" s="18" t="s">
        <v>169</v>
      </c>
      <c r="B24" s="19" t="s">
        <v>17</v>
      </c>
      <c r="C24" s="14" t="s">
        <v>170</v>
      </c>
      <c r="D24" s="19" t="s">
        <v>117</v>
      </c>
      <c r="E24" s="19" t="s">
        <v>171</v>
      </c>
      <c r="F24" s="19">
        <f>COUNTIF('Web Test Cases'!$B$5:$B$130,A24)</f>
        <v>6</v>
      </c>
      <c r="G24" s="19">
        <f>COUNTIFS('Web Test Cases'!$B$5:$B$130,A24,'Web Test Cases'!$M$5:$M$130,"Avtomat")</f>
        <v>1</v>
      </c>
      <c r="H24" s="19">
        <f>COUNTIFS('Web Test Cases'!$B$5:$B$130,A24,'Web Test Cases'!$O$5:$O$130,"Bəli")</f>
        <v>0</v>
      </c>
    </row>
    <row r="25" spans="1:8" ht="69.75" customHeight="1" x14ac:dyDescent="0.3">
      <c r="A25" s="18" t="s">
        <v>172</v>
      </c>
      <c r="B25" s="19" t="s">
        <v>173</v>
      </c>
      <c r="C25" s="14" t="s">
        <v>174</v>
      </c>
      <c r="D25" s="19" t="s">
        <v>117</v>
      </c>
      <c r="E25" s="19" t="s">
        <v>175</v>
      </c>
      <c r="F25" s="19">
        <f>COUNTIF('Web Test Cases'!$B$5:$B$130,A25)</f>
        <v>7</v>
      </c>
      <c r="G25" s="19">
        <f>COUNTIFS('Web Test Cases'!$B$5:$B$130,A25,'Web Test Cases'!$M$5:$M$130,"Avtomat")</f>
        <v>0</v>
      </c>
      <c r="H25" s="19">
        <f>COUNTIFS('Web Test Cases'!$B$5:$B$130,A25,'Web Test Cases'!$O$5:$O$130,"Bəli")</f>
        <v>0</v>
      </c>
    </row>
    <row r="26" spans="1:8" ht="69.75" customHeight="1" x14ac:dyDescent="0.3">
      <c r="A26" s="18" t="s">
        <v>176</v>
      </c>
      <c r="B26" s="19" t="s">
        <v>11</v>
      </c>
      <c r="C26" s="14" t="s">
        <v>177</v>
      </c>
      <c r="D26" s="19" t="s">
        <v>117</v>
      </c>
      <c r="E26" s="19" t="s">
        <v>178</v>
      </c>
      <c r="F26" s="19">
        <f>COUNTIF('Web Test Cases'!$B$5:$B$130,A26)</f>
        <v>7</v>
      </c>
      <c r="G26" s="19">
        <f>COUNTIFS('Web Test Cases'!$B$5:$B$130,A26,'Web Test Cases'!$M$5:$M$130,"Avtomat")</f>
        <v>4</v>
      </c>
      <c r="H26" s="19">
        <f>COUNTIFS('Web Test Cases'!$B$5:$B$130,A26,'Web Test Cases'!$O$5:$O$130,"Bəli")</f>
        <v>1</v>
      </c>
    </row>
    <row r="27" spans="1:8" ht="69.75" customHeight="1" x14ac:dyDescent="0.3">
      <c r="A27" s="18" t="s">
        <v>179</v>
      </c>
      <c r="B27" s="19" t="s">
        <v>180</v>
      </c>
      <c r="C27" s="14" t="s">
        <v>181</v>
      </c>
      <c r="D27" s="19" t="s">
        <v>130</v>
      </c>
      <c r="E27" s="19" t="s">
        <v>182</v>
      </c>
      <c r="F27" s="19">
        <f>COUNTIF('Web Test Cases'!$B$5:$B$130,A27)</f>
        <v>5</v>
      </c>
      <c r="G27" s="19">
        <f>COUNTIFS('Web Test Cases'!$B$5:$B$130,A27,'Web Test Cases'!$M$5:$M$130,"Avtomat")</f>
        <v>2</v>
      </c>
      <c r="H27" s="19">
        <f>COUNTIFS('Web Test Cases'!$B$5:$B$130,A27,'Web Test Cases'!$O$5:$O$130,"Bəli")</f>
        <v>0</v>
      </c>
    </row>
    <row r="28" spans="1:8" ht="69.75" customHeight="1" x14ac:dyDescent="0.3">
      <c r="A28" s="18" t="s">
        <v>183</v>
      </c>
      <c r="B28" s="19" t="s">
        <v>184</v>
      </c>
      <c r="C28" s="14" t="s">
        <v>185</v>
      </c>
      <c r="D28" s="19" t="s">
        <v>130</v>
      </c>
      <c r="E28" s="19" t="s">
        <v>186</v>
      </c>
      <c r="F28" s="19">
        <f>COUNTIF('Web Test Cases'!$B$5:$B$130,A28)</f>
        <v>3</v>
      </c>
      <c r="G28" s="19">
        <f>COUNTIFS('Web Test Cases'!$B$5:$B$130,A28,'Web Test Cases'!$M$5:$M$130,"Avtomat")</f>
        <v>0</v>
      </c>
      <c r="H28" s="19">
        <f>COUNTIFS('Web Test Cases'!$B$5:$B$130,A28,'Web Test Cases'!$O$5:$O$130,"Bəli")</f>
        <v>0</v>
      </c>
    </row>
    <row r="29" spans="1:8" ht="15" customHeight="1" x14ac:dyDescent="0.3">
      <c r="A29" s="21"/>
      <c r="B29" s="21"/>
      <c r="C29" s="22" t="s">
        <v>187</v>
      </c>
      <c r="D29" s="21"/>
      <c r="E29" s="21"/>
      <c r="F29" s="23">
        <f>SUM(F5:F28)</f>
        <v>126</v>
      </c>
      <c r="G29" s="23">
        <f>SUM(G5:G28)</f>
        <v>74</v>
      </c>
      <c r="H29" s="23">
        <f>SUM(H5:H28)</f>
        <v>40</v>
      </c>
    </row>
    <row r="30" spans="1:8" ht="15" customHeight="1" x14ac:dyDescent="0.3"/>
  </sheetData>
  <autoFilter ref="A4:H29"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30"/>
  <sheetViews>
    <sheetView zoomScaleNormal="100" workbookViewId="0">
      <pane xSplit="1" ySplit="4" topLeftCell="B5" activePane="bottomRight" state="frozen"/>
      <selection pane="topRight" activeCell="B1" sqref="B1"/>
      <selection pane="bottomLeft" activeCell="A5" sqref="A5"/>
      <selection pane="bottomRight" activeCell="D5" sqref="D5"/>
    </sheetView>
  </sheetViews>
  <sheetFormatPr defaultColWidth="8.6640625" defaultRowHeight="14.4" x14ac:dyDescent="0.3"/>
  <cols>
    <col min="1" max="1" width="22.5546875" customWidth="1"/>
    <col min="2" max="2" width="12.88671875" customWidth="1"/>
    <col min="3" max="3" width="16" customWidth="1"/>
    <col min="4" max="4" width="40" customWidth="1"/>
    <col min="5" max="5" width="14" customWidth="1"/>
    <col min="6" max="6" width="18" customWidth="1"/>
    <col min="7" max="7" width="22" customWidth="1"/>
    <col min="8" max="8" width="57.33203125" customWidth="1"/>
    <col min="9" max="9" width="26" customWidth="1"/>
    <col min="10" max="10" width="50" customWidth="1"/>
    <col min="11" max="11" width="30" customWidth="1"/>
    <col min="12" max="12" width="10" customWidth="1"/>
    <col min="13" max="13" width="11" customWidth="1"/>
    <col min="14" max="14" width="38" customWidth="1"/>
    <col min="15" max="17" width="15" customWidth="1"/>
    <col min="18" max="18" width="16" customWidth="1"/>
    <col min="19" max="19" width="24" customWidth="1"/>
    <col min="20" max="20" width="48" customWidth="1"/>
  </cols>
  <sheetData>
    <row r="1" spans="1:20" ht="17.25" customHeight="1" x14ac:dyDescent="0.3">
      <c r="A1" s="11" t="s">
        <v>188</v>
      </c>
    </row>
    <row r="2" spans="1:20" ht="17.25" customHeight="1" x14ac:dyDescent="0.3">
      <c r="A2" s="11"/>
    </row>
    <row r="4" spans="1:20" ht="47.25" customHeight="1" x14ac:dyDescent="0.3">
      <c r="A4" s="17" t="s">
        <v>189</v>
      </c>
      <c r="B4" s="17" t="s">
        <v>102</v>
      </c>
      <c r="C4" s="17" t="s">
        <v>103</v>
      </c>
      <c r="D4" s="17" t="s">
        <v>190</v>
      </c>
      <c r="E4" s="17" t="s">
        <v>105</v>
      </c>
      <c r="F4" s="17" t="s">
        <v>191</v>
      </c>
      <c r="G4" s="17" t="s">
        <v>192</v>
      </c>
      <c r="H4" s="17" t="s">
        <v>193</v>
      </c>
      <c r="I4" s="17" t="s">
        <v>194</v>
      </c>
      <c r="J4" s="17" t="s">
        <v>195</v>
      </c>
      <c r="K4" s="17" t="s">
        <v>196</v>
      </c>
      <c r="L4" s="17" t="s">
        <v>197</v>
      </c>
      <c r="M4" s="17" t="s">
        <v>198</v>
      </c>
      <c r="N4" s="17" t="s">
        <v>199</v>
      </c>
      <c r="O4" s="17" t="s">
        <v>109</v>
      </c>
      <c r="P4" s="17" t="s">
        <v>200</v>
      </c>
      <c r="Q4" s="17" t="s">
        <v>201</v>
      </c>
      <c r="R4" s="17" t="s">
        <v>202</v>
      </c>
      <c r="S4" s="17" t="s">
        <v>203</v>
      </c>
      <c r="T4" s="17" t="s">
        <v>204</v>
      </c>
    </row>
    <row r="5" spans="1:20" ht="105" customHeight="1" x14ac:dyDescent="0.3">
      <c r="A5" s="18" t="s">
        <v>205</v>
      </c>
      <c r="B5" s="19" t="s">
        <v>110</v>
      </c>
      <c r="C5" s="19" t="s">
        <v>111</v>
      </c>
      <c r="D5" s="19" t="s">
        <v>206</v>
      </c>
      <c r="E5" s="20" t="s">
        <v>113</v>
      </c>
      <c r="F5" s="19" t="s">
        <v>207</v>
      </c>
      <c r="G5" s="19" t="s">
        <v>208</v>
      </c>
      <c r="H5" s="19" t="s">
        <v>209</v>
      </c>
      <c r="I5" s="19" t="s">
        <v>210</v>
      </c>
      <c r="J5" s="19" t="s">
        <v>211</v>
      </c>
      <c r="K5" s="19" t="s">
        <v>212</v>
      </c>
      <c r="L5" s="19" t="s">
        <v>213</v>
      </c>
      <c r="M5" s="24" t="s">
        <v>108</v>
      </c>
      <c r="N5" s="19" t="s">
        <v>214</v>
      </c>
      <c r="O5" s="19" t="s">
        <v>215</v>
      </c>
      <c r="P5" s="19" t="s">
        <v>215</v>
      </c>
      <c r="Q5" s="19"/>
      <c r="R5" s="19" t="s">
        <v>216</v>
      </c>
      <c r="S5" s="19" t="s">
        <v>217</v>
      </c>
      <c r="T5" s="19" t="s">
        <v>218</v>
      </c>
    </row>
    <row r="6" spans="1:20" ht="105" customHeight="1" x14ac:dyDescent="0.3">
      <c r="A6" s="18" t="s">
        <v>219</v>
      </c>
      <c r="B6" s="19" t="s">
        <v>110</v>
      </c>
      <c r="C6" s="19" t="s">
        <v>111</v>
      </c>
      <c r="D6" s="19" t="s">
        <v>220</v>
      </c>
      <c r="E6" s="20" t="s">
        <v>113</v>
      </c>
      <c r="F6" s="19" t="s">
        <v>207</v>
      </c>
      <c r="G6" s="19" t="s">
        <v>208</v>
      </c>
      <c r="H6" s="19" t="s">
        <v>221</v>
      </c>
      <c r="I6" s="19" t="s">
        <v>222</v>
      </c>
      <c r="J6" s="19" t="s">
        <v>223</v>
      </c>
      <c r="K6" s="19" t="s">
        <v>224</v>
      </c>
      <c r="L6" s="19" t="s">
        <v>213</v>
      </c>
      <c r="M6" s="24" t="s">
        <v>108</v>
      </c>
      <c r="N6" s="19" t="s">
        <v>225</v>
      </c>
      <c r="O6" s="19" t="s">
        <v>215</v>
      </c>
      <c r="P6" s="19" t="s">
        <v>226</v>
      </c>
      <c r="Q6" s="19"/>
      <c r="R6" s="19" t="s">
        <v>216</v>
      </c>
      <c r="S6" s="19" t="s">
        <v>217</v>
      </c>
      <c r="T6" s="19" t="s">
        <v>227</v>
      </c>
    </row>
    <row r="7" spans="1:20" ht="105" customHeight="1" x14ac:dyDescent="0.3">
      <c r="A7" s="18" t="s">
        <v>228</v>
      </c>
      <c r="B7" s="19" t="s">
        <v>110</v>
      </c>
      <c r="C7" s="19" t="s">
        <v>111</v>
      </c>
      <c r="D7" s="19" t="s">
        <v>229</v>
      </c>
      <c r="E7" s="20" t="s">
        <v>113</v>
      </c>
      <c r="F7" s="19" t="s">
        <v>207</v>
      </c>
      <c r="G7" s="19" t="s">
        <v>208</v>
      </c>
      <c r="H7" s="19" t="s">
        <v>230</v>
      </c>
      <c r="I7" s="19" t="s">
        <v>231</v>
      </c>
      <c r="J7" s="19" t="s">
        <v>232</v>
      </c>
      <c r="K7" s="19" t="s">
        <v>233</v>
      </c>
      <c r="L7" s="19" t="s">
        <v>213</v>
      </c>
      <c r="M7" s="24" t="s">
        <v>108</v>
      </c>
      <c r="N7" s="19" t="s">
        <v>234</v>
      </c>
      <c r="O7" s="19" t="s">
        <v>215</v>
      </c>
      <c r="P7" s="19" t="s">
        <v>226</v>
      </c>
      <c r="Q7" s="19"/>
      <c r="R7" s="19" t="s">
        <v>235</v>
      </c>
      <c r="S7" s="19" t="s">
        <v>217</v>
      </c>
      <c r="T7" s="19" t="s">
        <v>236</v>
      </c>
    </row>
    <row r="8" spans="1:20" ht="105" customHeight="1" x14ac:dyDescent="0.3">
      <c r="A8" s="18" t="s">
        <v>237</v>
      </c>
      <c r="B8" s="19" t="s">
        <v>110</v>
      </c>
      <c r="C8" s="19" t="s">
        <v>111</v>
      </c>
      <c r="D8" s="19" t="s">
        <v>238</v>
      </c>
      <c r="E8" s="19" t="s">
        <v>117</v>
      </c>
      <c r="F8" s="19" t="s">
        <v>207</v>
      </c>
      <c r="G8" s="19" t="s">
        <v>208</v>
      </c>
      <c r="H8" s="19" t="s">
        <v>239</v>
      </c>
      <c r="I8" s="19" t="s">
        <v>240</v>
      </c>
      <c r="J8" s="19" t="s">
        <v>241</v>
      </c>
      <c r="K8" s="19" t="s">
        <v>242</v>
      </c>
      <c r="L8" s="19" t="s">
        <v>213</v>
      </c>
      <c r="M8" s="24" t="s">
        <v>108</v>
      </c>
      <c r="N8" s="19" t="s">
        <v>243</v>
      </c>
      <c r="O8" s="19" t="s">
        <v>215</v>
      </c>
      <c r="P8" s="19" t="s">
        <v>226</v>
      </c>
      <c r="Q8" s="19"/>
      <c r="R8" s="19" t="s">
        <v>244</v>
      </c>
      <c r="S8" s="19" t="s">
        <v>217</v>
      </c>
      <c r="T8" s="19" t="s">
        <v>245</v>
      </c>
    </row>
    <row r="9" spans="1:20" ht="105" customHeight="1" x14ac:dyDescent="0.3">
      <c r="A9" s="18" t="s">
        <v>246</v>
      </c>
      <c r="B9" s="19" t="s">
        <v>115</v>
      </c>
      <c r="C9" s="19" t="s">
        <v>111</v>
      </c>
      <c r="D9" s="19" t="s">
        <v>247</v>
      </c>
      <c r="E9" s="19" t="s">
        <v>117</v>
      </c>
      <c r="F9" s="19" t="s">
        <v>207</v>
      </c>
      <c r="G9" s="19" t="s">
        <v>208</v>
      </c>
      <c r="H9" s="19" t="s">
        <v>248</v>
      </c>
      <c r="I9" s="19" t="s">
        <v>249</v>
      </c>
      <c r="J9" s="19" t="s">
        <v>250</v>
      </c>
      <c r="K9" s="19" t="s">
        <v>251</v>
      </c>
      <c r="L9" s="19" t="s">
        <v>213</v>
      </c>
      <c r="M9" s="24" t="s">
        <v>108</v>
      </c>
      <c r="N9" s="19" t="s">
        <v>252</v>
      </c>
      <c r="O9" s="19" t="s">
        <v>215</v>
      </c>
      <c r="P9" s="19" t="s">
        <v>226</v>
      </c>
      <c r="Q9" s="19"/>
      <c r="R9" s="19" t="s">
        <v>253</v>
      </c>
      <c r="S9" s="19" t="s">
        <v>217</v>
      </c>
      <c r="T9" s="19" t="s">
        <v>254</v>
      </c>
    </row>
    <row r="10" spans="1:20" ht="105" customHeight="1" x14ac:dyDescent="0.3">
      <c r="A10" s="18" t="s">
        <v>255</v>
      </c>
      <c r="B10" s="19" t="s">
        <v>115</v>
      </c>
      <c r="C10" s="19" t="s">
        <v>111</v>
      </c>
      <c r="D10" s="19" t="s">
        <v>256</v>
      </c>
      <c r="E10" s="19" t="s">
        <v>130</v>
      </c>
      <c r="F10" s="19" t="s">
        <v>207</v>
      </c>
      <c r="G10" s="19" t="s">
        <v>208</v>
      </c>
      <c r="H10" s="19" t="s">
        <v>257</v>
      </c>
      <c r="I10" s="19" t="s">
        <v>258</v>
      </c>
      <c r="J10" s="19" t="s">
        <v>259</v>
      </c>
      <c r="K10" s="19" t="s">
        <v>260</v>
      </c>
      <c r="L10" s="19" t="s">
        <v>213</v>
      </c>
      <c r="M10" s="24" t="s">
        <v>108</v>
      </c>
      <c r="N10" s="19" t="s">
        <v>261</v>
      </c>
      <c r="O10" s="19" t="s">
        <v>226</v>
      </c>
      <c r="P10" s="19" t="s">
        <v>226</v>
      </c>
      <c r="Q10" s="19"/>
      <c r="R10" s="19" t="s">
        <v>262</v>
      </c>
      <c r="S10" s="19" t="s">
        <v>217</v>
      </c>
      <c r="T10" s="19" t="s">
        <v>263</v>
      </c>
    </row>
    <row r="11" spans="1:20" ht="105" customHeight="1" x14ac:dyDescent="0.3">
      <c r="A11" s="18" t="s">
        <v>264</v>
      </c>
      <c r="B11" s="19" t="s">
        <v>115</v>
      </c>
      <c r="C11" s="19" t="s">
        <v>111</v>
      </c>
      <c r="D11" s="19" t="s">
        <v>265</v>
      </c>
      <c r="E11" s="19" t="s">
        <v>117</v>
      </c>
      <c r="F11" s="19" t="s">
        <v>207</v>
      </c>
      <c r="G11" s="19" t="s">
        <v>208</v>
      </c>
      <c r="H11" s="19" t="s">
        <v>266</v>
      </c>
      <c r="I11" s="19" t="s">
        <v>267</v>
      </c>
      <c r="J11" s="19" t="s">
        <v>268</v>
      </c>
      <c r="K11" s="19" t="s">
        <v>269</v>
      </c>
      <c r="L11" s="19" t="s">
        <v>213</v>
      </c>
      <c r="M11" s="24" t="s">
        <v>108</v>
      </c>
      <c r="N11" s="19" t="s">
        <v>270</v>
      </c>
      <c r="O11" s="19" t="s">
        <v>215</v>
      </c>
      <c r="P11" s="19" t="s">
        <v>226</v>
      </c>
      <c r="Q11" s="19"/>
      <c r="R11" s="19" t="s">
        <v>253</v>
      </c>
      <c r="S11" s="19" t="s">
        <v>217</v>
      </c>
      <c r="T11" s="19" t="s">
        <v>271</v>
      </c>
    </row>
    <row r="12" spans="1:20" ht="105" customHeight="1" x14ac:dyDescent="0.3">
      <c r="A12" s="18" t="s">
        <v>272</v>
      </c>
      <c r="B12" s="19" t="s">
        <v>115</v>
      </c>
      <c r="C12" s="19" t="s">
        <v>111</v>
      </c>
      <c r="D12" s="19" t="s">
        <v>273</v>
      </c>
      <c r="E12" s="19" t="s">
        <v>130</v>
      </c>
      <c r="F12" s="19" t="s">
        <v>207</v>
      </c>
      <c r="G12" s="19" t="s">
        <v>208</v>
      </c>
      <c r="H12" s="19" t="s">
        <v>274</v>
      </c>
      <c r="I12" s="19" t="s">
        <v>275</v>
      </c>
      <c r="J12" s="19" t="s">
        <v>276</v>
      </c>
      <c r="K12" s="19" t="s">
        <v>277</v>
      </c>
      <c r="L12" s="19" t="s">
        <v>213</v>
      </c>
      <c r="M12" s="25" t="s">
        <v>278</v>
      </c>
      <c r="N12" s="19" t="s">
        <v>279</v>
      </c>
      <c r="O12" s="19" t="s">
        <v>226</v>
      </c>
      <c r="P12" s="19" t="s">
        <v>226</v>
      </c>
      <c r="Q12" s="19"/>
      <c r="R12" s="19" t="s">
        <v>253</v>
      </c>
      <c r="S12" s="19"/>
      <c r="T12" s="19"/>
    </row>
    <row r="13" spans="1:20" ht="105" customHeight="1" x14ac:dyDescent="0.3">
      <c r="A13" s="18" t="s">
        <v>280</v>
      </c>
      <c r="B13" s="19" t="s">
        <v>115</v>
      </c>
      <c r="C13" s="19" t="s">
        <v>111</v>
      </c>
      <c r="D13" s="19" t="s">
        <v>281</v>
      </c>
      <c r="E13" s="19" t="s">
        <v>117</v>
      </c>
      <c r="F13" s="19" t="s">
        <v>207</v>
      </c>
      <c r="G13" s="19" t="s">
        <v>208</v>
      </c>
      <c r="H13" s="19" t="s">
        <v>282</v>
      </c>
      <c r="I13" s="19" t="s">
        <v>283</v>
      </c>
      <c r="J13" s="19" t="s">
        <v>284</v>
      </c>
      <c r="K13" s="19" t="s">
        <v>285</v>
      </c>
      <c r="L13" s="19" t="s">
        <v>213</v>
      </c>
      <c r="M13" s="24" t="s">
        <v>108</v>
      </c>
      <c r="N13" s="19" t="s">
        <v>286</v>
      </c>
      <c r="O13" s="19" t="s">
        <v>215</v>
      </c>
      <c r="P13" s="19" t="s">
        <v>226</v>
      </c>
      <c r="Q13" s="19"/>
      <c r="R13" s="19" t="s">
        <v>287</v>
      </c>
      <c r="S13" s="19" t="s">
        <v>217</v>
      </c>
      <c r="T13" s="19" t="s">
        <v>288</v>
      </c>
    </row>
    <row r="14" spans="1:20" ht="105" customHeight="1" x14ac:dyDescent="0.3">
      <c r="A14" s="18" t="s">
        <v>289</v>
      </c>
      <c r="B14" s="19" t="s">
        <v>115</v>
      </c>
      <c r="C14" s="19" t="s">
        <v>111</v>
      </c>
      <c r="D14" s="19" t="s">
        <v>290</v>
      </c>
      <c r="E14" s="19" t="s">
        <v>130</v>
      </c>
      <c r="F14" s="19" t="s">
        <v>207</v>
      </c>
      <c r="G14" s="19" t="s">
        <v>208</v>
      </c>
      <c r="H14" s="19" t="s">
        <v>291</v>
      </c>
      <c r="I14" s="19" t="s">
        <v>292</v>
      </c>
      <c r="J14" s="19" t="s">
        <v>293</v>
      </c>
      <c r="K14" s="19" t="s">
        <v>294</v>
      </c>
      <c r="L14" s="19" t="s">
        <v>213</v>
      </c>
      <c r="M14" s="24" t="s">
        <v>108</v>
      </c>
      <c r="N14" s="19" t="s">
        <v>295</v>
      </c>
      <c r="O14" s="19" t="s">
        <v>226</v>
      </c>
      <c r="P14" s="19" t="s">
        <v>226</v>
      </c>
      <c r="Q14" s="19"/>
      <c r="R14" s="19" t="s">
        <v>262</v>
      </c>
      <c r="S14" s="19" t="s">
        <v>217</v>
      </c>
      <c r="T14" s="19" t="s">
        <v>296</v>
      </c>
    </row>
    <row r="15" spans="1:20" ht="105" customHeight="1" x14ac:dyDescent="0.3">
      <c r="A15" s="18" t="s">
        <v>297</v>
      </c>
      <c r="B15" s="19" t="s">
        <v>115</v>
      </c>
      <c r="C15" s="19" t="s">
        <v>111</v>
      </c>
      <c r="D15" s="19" t="s">
        <v>298</v>
      </c>
      <c r="E15" s="19" t="s">
        <v>130</v>
      </c>
      <c r="F15" s="19" t="s">
        <v>207</v>
      </c>
      <c r="G15" s="19" t="s">
        <v>208</v>
      </c>
      <c r="H15" s="19" t="s">
        <v>299</v>
      </c>
      <c r="I15" s="19" t="s">
        <v>218</v>
      </c>
      <c r="J15" s="19" t="s">
        <v>300</v>
      </c>
      <c r="K15" s="19" t="s">
        <v>301</v>
      </c>
      <c r="L15" s="19" t="s">
        <v>213</v>
      </c>
      <c r="M15" s="24" t="s">
        <v>108</v>
      </c>
      <c r="N15" s="19" t="s">
        <v>302</v>
      </c>
      <c r="O15" s="19" t="s">
        <v>226</v>
      </c>
      <c r="P15" s="19" t="s">
        <v>226</v>
      </c>
      <c r="Q15" s="19"/>
      <c r="R15" s="19" t="s">
        <v>287</v>
      </c>
      <c r="S15" s="19" t="s">
        <v>217</v>
      </c>
      <c r="T15" s="19" t="s">
        <v>303</v>
      </c>
    </row>
    <row r="16" spans="1:20" ht="105" customHeight="1" x14ac:dyDescent="0.3">
      <c r="A16" s="18" t="s">
        <v>304</v>
      </c>
      <c r="B16" s="19" t="s">
        <v>115</v>
      </c>
      <c r="C16" s="19" t="s">
        <v>111</v>
      </c>
      <c r="D16" s="19" t="s">
        <v>305</v>
      </c>
      <c r="E16" s="19" t="s">
        <v>130</v>
      </c>
      <c r="F16" s="19" t="s">
        <v>207</v>
      </c>
      <c r="G16" s="19" t="s">
        <v>208</v>
      </c>
      <c r="H16" s="19" t="s">
        <v>306</v>
      </c>
      <c r="I16" s="19" t="s">
        <v>218</v>
      </c>
      <c r="J16" s="19" t="s">
        <v>307</v>
      </c>
      <c r="K16" s="19" t="s">
        <v>308</v>
      </c>
      <c r="L16" s="19" t="s">
        <v>213</v>
      </c>
      <c r="M16" s="24" t="s">
        <v>108</v>
      </c>
      <c r="N16" s="19" t="s">
        <v>302</v>
      </c>
      <c r="O16" s="19" t="s">
        <v>226</v>
      </c>
      <c r="P16" s="19" t="s">
        <v>226</v>
      </c>
      <c r="Q16" s="19"/>
      <c r="R16" s="19" t="s">
        <v>287</v>
      </c>
      <c r="S16" s="19" t="s">
        <v>217</v>
      </c>
      <c r="T16" s="19" t="s">
        <v>309</v>
      </c>
    </row>
    <row r="17" spans="1:20" ht="105" customHeight="1" x14ac:dyDescent="0.3">
      <c r="A17" s="18" t="s">
        <v>310</v>
      </c>
      <c r="B17" s="19" t="s">
        <v>115</v>
      </c>
      <c r="C17" s="19" t="s">
        <v>111</v>
      </c>
      <c r="D17" s="19" t="s">
        <v>311</v>
      </c>
      <c r="E17" s="19" t="s">
        <v>130</v>
      </c>
      <c r="F17" s="19" t="s">
        <v>312</v>
      </c>
      <c r="G17" s="19" t="s">
        <v>208</v>
      </c>
      <c r="H17" s="19" t="s">
        <v>313</v>
      </c>
      <c r="I17" s="19" t="s">
        <v>314</v>
      </c>
      <c r="J17" s="19" t="s">
        <v>315</v>
      </c>
      <c r="K17" s="19" t="s">
        <v>316</v>
      </c>
      <c r="L17" s="19" t="s">
        <v>213</v>
      </c>
      <c r="M17" s="25" t="s">
        <v>278</v>
      </c>
      <c r="N17" s="19" t="s">
        <v>317</v>
      </c>
      <c r="O17" s="19" t="s">
        <v>226</v>
      </c>
      <c r="P17" s="19" t="s">
        <v>226</v>
      </c>
      <c r="Q17" s="19"/>
      <c r="R17" s="19" t="s">
        <v>287</v>
      </c>
      <c r="S17" s="19"/>
      <c r="T17" s="19"/>
    </row>
    <row r="18" spans="1:20" ht="105" customHeight="1" x14ac:dyDescent="0.3">
      <c r="A18" s="18" t="s">
        <v>318</v>
      </c>
      <c r="B18" s="19" t="s">
        <v>119</v>
      </c>
      <c r="C18" s="19" t="s">
        <v>111</v>
      </c>
      <c r="D18" s="19" t="s">
        <v>319</v>
      </c>
      <c r="E18" s="19" t="s">
        <v>117</v>
      </c>
      <c r="F18" s="19" t="s">
        <v>207</v>
      </c>
      <c r="G18" s="19" t="s">
        <v>208</v>
      </c>
      <c r="H18" s="19" t="s">
        <v>320</v>
      </c>
      <c r="I18" s="19" t="s">
        <v>321</v>
      </c>
      <c r="J18" s="19" t="s">
        <v>322</v>
      </c>
      <c r="K18" s="19" t="s">
        <v>323</v>
      </c>
      <c r="L18" s="19" t="s">
        <v>213</v>
      </c>
      <c r="M18" s="24" t="s">
        <v>108</v>
      </c>
      <c r="N18" s="19" t="s">
        <v>270</v>
      </c>
      <c r="O18" s="19" t="s">
        <v>215</v>
      </c>
      <c r="P18" s="19" t="s">
        <v>226</v>
      </c>
      <c r="Q18" s="19"/>
      <c r="R18" s="19" t="s">
        <v>324</v>
      </c>
      <c r="S18" s="19" t="s">
        <v>217</v>
      </c>
      <c r="T18" s="19" t="s">
        <v>325</v>
      </c>
    </row>
    <row r="19" spans="1:20" ht="105" customHeight="1" x14ac:dyDescent="0.3">
      <c r="A19" s="18" t="s">
        <v>326</v>
      </c>
      <c r="B19" s="19" t="s">
        <v>119</v>
      </c>
      <c r="C19" s="19" t="s">
        <v>111</v>
      </c>
      <c r="D19" s="19" t="s">
        <v>327</v>
      </c>
      <c r="E19" s="19" t="s">
        <v>117</v>
      </c>
      <c r="F19" s="19" t="s">
        <v>328</v>
      </c>
      <c r="G19" s="19" t="s">
        <v>208</v>
      </c>
      <c r="H19" s="19" t="s">
        <v>329</v>
      </c>
      <c r="I19" s="19" t="s">
        <v>330</v>
      </c>
      <c r="J19" s="19" t="s">
        <v>331</v>
      </c>
      <c r="K19" s="19" t="s">
        <v>332</v>
      </c>
      <c r="L19" s="19" t="s">
        <v>213</v>
      </c>
      <c r="M19" s="24" t="s">
        <v>108</v>
      </c>
      <c r="N19" s="19" t="s">
        <v>333</v>
      </c>
      <c r="O19" s="19" t="s">
        <v>215</v>
      </c>
      <c r="P19" s="19" t="s">
        <v>226</v>
      </c>
      <c r="Q19" s="19"/>
      <c r="R19" s="19" t="s">
        <v>324</v>
      </c>
      <c r="S19" s="19" t="s">
        <v>217</v>
      </c>
      <c r="T19" s="19" t="s">
        <v>334</v>
      </c>
    </row>
    <row r="20" spans="1:20" ht="105" customHeight="1" x14ac:dyDescent="0.3">
      <c r="A20" s="18" t="s">
        <v>335</v>
      </c>
      <c r="B20" s="19" t="s">
        <v>119</v>
      </c>
      <c r="C20" s="19" t="s">
        <v>111</v>
      </c>
      <c r="D20" s="19" t="s">
        <v>336</v>
      </c>
      <c r="E20" s="19" t="s">
        <v>130</v>
      </c>
      <c r="F20" s="19" t="s">
        <v>328</v>
      </c>
      <c r="G20" s="19" t="s">
        <v>208</v>
      </c>
      <c r="H20" s="19" t="s">
        <v>337</v>
      </c>
      <c r="I20" s="19" t="s">
        <v>338</v>
      </c>
      <c r="J20" s="19" t="s">
        <v>339</v>
      </c>
      <c r="K20" s="19" t="s">
        <v>340</v>
      </c>
      <c r="L20" s="19" t="s">
        <v>213</v>
      </c>
      <c r="M20" s="24" t="s">
        <v>108</v>
      </c>
      <c r="N20" s="19" t="s">
        <v>302</v>
      </c>
      <c r="O20" s="19" t="s">
        <v>226</v>
      </c>
      <c r="P20" s="19" t="s">
        <v>226</v>
      </c>
      <c r="Q20" s="19"/>
      <c r="R20" s="19" t="s">
        <v>324</v>
      </c>
      <c r="S20" s="19" t="s">
        <v>217</v>
      </c>
      <c r="T20" s="19" t="s">
        <v>341</v>
      </c>
    </row>
    <row r="21" spans="1:20" ht="105" customHeight="1" x14ac:dyDescent="0.3">
      <c r="A21" s="18" t="s">
        <v>342</v>
      </c>
      <c r="B21" s="19" t="s">
        <v>119</v>
      </c>
      <c r="C21" s="19" t="s">
        <v>111</v>
      </c>
      <c r="D21" s="19" t="s">
        <v>343</v>
      </c>
      <c r="E21" s="19" t="s">
        <v>130</v>
      </c>
      <c r="F21" s="19" t="s">
        <v>312</v>
      </c>
      <c r="G21" s="19" t="s">
        <v>208</v>
      </c>
      <c r="H21" s="19" t="s">
        <v>344</v>
      </c>
      <c r="I21" s="19" t="s">
        <v>345</v>
      </c>
      <c r="J21" s="19" t="s">
        <v>346</v>
      </c>
      <c r="K21" s="19" t="s">
        <v>347</v>
      </c>
      <c r="L21" s="19" t="s">
        <v>213</v>
      </c>
      <c r="M21" s="25" t="s">
        <v>278</v>
      </c>
      <c r="N21" s="19" t="s">
        <v>348</v>
      </c>
      <c r="O21" s="19" t="s">
        <v>226</v>
      </c>
      <c r="P21" s="19" t="s">
        <v>226</v>
      </c>
      <c r="Q21" s="19"/>
      <c r="R21" s="19" t="s">
        <v>324</v>
      </c>
      <c r="S21" s="19"/>
      <c r="T21" s="19"/>
    </row>
    <row r="22" spans="1:20" ht="105" customHeight="1" x14ac:dyDescent="0.3">
      <c r="A22" s="18" t="s">
        <v>349</v>
      </c>
      <c r="B22" s="19" t="s">
        <v>119</v>
      </c>
      <c r="C22" s="19" t="s">
        <v>111</v>
      </c>
      <c r="D22" s="19" t="s">
        <v>350</v>
      </c>
      <c r="E22" s="19" t="s">
        <v>130</v>
      </c>
      <c r="F22" s="19" t="s">
        <v>312</v>
      </c>
      <c r="G22" s="19" t="s">
        <v>208</v>
      </c>
      <c r="H22" s="19" t="s">
        <v>351</v>
      </c>
      <c r="I22" s="19" t="s">
        <v>352</v>
      </c>
      <c r="J22" s="19" t="s">
        <v>353</v>
      </c>
      <c r="K22" s="19" t="s">
        <v>354</v>
      </c>
      <c r="L22" s="19" t="s">
        <v>213</v>
      </c>
      <c r="M22" s="25" t="s">
        <v>278</v>
      </c>
      <c r="N22" s="19" t="s">
        <v>355</v>
      </c>
      <c r="O22" s="19" t="s">
        <v>226</v>
      </c>
      <c r="P22" s="19" t="s">
        <v>226</v>
      </c>
      <c r="Q22" s="19"/>
      <c r="R22" s="19" t="s">
        <v>324</v>
      </c>
      <c r="S22" s="19"/>
      <c r="T22" s="19"/>
    </row>
    <row r="23" spans="1:20" ht="105" customHeight="1" x14ac:dyDescent="0.3">
      <c r="A23" s="18" t="s">
        <v>356</v>
      </c>
      <c r="B23" s="19" t="s">
        <v>122</v>
      </c>
      <c r="C23" s="19" t="s">
        <v>111</v>
      </c>
      <c r="D23" s="19" t="s">
        <v>357</v>
      </c>
      <c r="E23" s="19" t="s">
        <v>117</v>
      </c>
      <c r="F23" s="19" t="s">
        <v>207</v>
      </c>
      <c r="G23" s="19" t="s">
        <v>208</v>
      </c>
      <c r="H23" s="19" t="s">
        <v>358</v>
      </c>
      <c r="I23" s="19" t="s">
        <v>218</v>
      </c>
      <c r="J23" s="19" t="s">
        <v>359</v>
      </c>
      <c r="K23" s="19" t="s">
        <v>360</v>
      </c>
      <c r="L23" s="19" t="s">
        <v>213</v>
      </c>
      <c r="M23" s="24" t="s">
        <v>108</v>
      </c>
      <c r="N23" s="19" t="s">
        <v>270</v>
      </c>
      <c r="O23" s="19" t="s">
        <v>215</v>
      </c>
      <c r="P23" s="19" t="s">
        <v>226</v>
      </c>
      <c r="Q23" s="19"/>
      <c r="R23" s="19" t="s">
        <v>361</v>
      </c>
      <c r="S23" s="19" t="s">
        <v>217</v>
      </c>
      <c r="T23" s="19" t="s">
        <v>362</v>
      </c>
    </row>
    <row r="24" spans="1:20" ht="105" customHeight="1" x14ac:dyDescent="0.3">
      <c r="A24" s="18" t="s">
        <v>363</v>
      </c>
      <c r="B24" s="19" t="s">
        <v>122</v>
      </c>
      <c r="C24" s="19" t="s">
        <v>111</v>
      </c>
      <c r="D24" s="19" t="s">
        <v>364</v>
      </c>
      <c r="E24" s="19" t="s">
        <v>117</v>
      </c>
      <c r="F24" s="19" t="s">
        <v>207</v>
      </c>
      <c r="G24" s="19" t="s">
        <v>208</v>
      </c>
      <c r="H24" s="19" t="s">
        <v>365</v>
      </c>
      <c r="I24" s="19" t="s">
        <v>366</v>
      </c>
      <c r="J24" s="19" t="s">
        <v>367</v>
      </c>
      <c r="K24" s="19" t="s">
        <v>368</v>
      </c>
      <c r="L24" s="19" t="s">
        <v>213</v>
      </c>
      <c r="M24" s="24" t="s">
        <v>108</v>
      </c>
      <c r="N24" s="19" t="s">
        <v>270</v>
      </c>
      <c r="O24" s="19" t="s">
        <v>215</v>
      </c>
      <c r="P24" s="19" t="s">
        <v>226</v>
      </c>
      <c r="Q24" s="19"/>
      <c r="R24" s="19" t="s">
        <v>369</v>
      </c>
      <c r="S24" s="19" t="s">
        <v>217</v>
      </c>
      <c r="T24" s="19" t="s">
        <v>370</v>
      </c>
    </row>
    <row r="25" spans="1:20" ht="105" customHeight="1" x14ac:dyDescent="0.3">
      <c r="A25" s="18" t="s">
        <v>371</v>
      </c>
      <c r="B25" s="19" t="s">
        <v>122</v>
      </c>
      <c r="C25" s="19" t="s">
        <v>111</v>
      </c>
      <c r="D25" s="19" t="s">
        <v>372</v>
      </c>
      <c r="E25" s="19" t="s">
        <v>130</v>
      </c>
      <c r="F25" s="19" t="s">
        <v>207</v>
      </c>
      <c r="G25" s="19" t="s">
        <v>208</v>
      </c>
      <c r="H25" s="19" t="s">
        <v>373</v>
      </c>
      <c r="I25" s="19" t="s">
        <v>218</v>
      </c>
      <c r="J25" s="19" t="s">
        <v>374</v>
      </c>
      <c r="K25" s="19" t="s">
        <v>375</v>
      </c>
      <c r="L25" s="19" t="s">
        <v>213</v>
      </c>
      <c r="M25" s="24" t="s">
        <v>108</v>
      </c>
      <c r="N25" s="19" t="s">
        <v>295</v>
      </c>
      <c r="O25" s="19" t="s">
        <v>226</v>
      </c>
      <c r="P25" s="19" t="s">
        <v>226</v>
      </c>
      <c r="Q25" s="19"/>
      <c r="R25" s="19" t="s">
        <v>361</v>
      </c>
      <c r="S25" s="19" t="s">
        <v>217</v>
      </c>
      <c r="T25" s="19" t="s">
        <v>376</v>
      </c>
    </row>
    <row r="26" spans="1:20" ht="105" customHeight="1" x14ac:dyDescent="0.3">
      <c r="A26" s="18" t="s">
        <v>377</v>
      </c>
      <c r="B26" s="19" t="s">
        <v>122</v>
      </c>
      <c r="C26" s="19" t="s">
        <v>111</v>
      </c>
      <c r="D26" s="19" t="s">
        <v>378</v>
      </c>
      <c r="E26" s="19" t="s">
        <v>130</v>
      </c>
      <c r="F26" s="19" t="s">
        <v>207</v>
      </c>
      <c r="G26" s="19" t="s">
        <v>208</v>
      </c>
      <c r="H26" s="19" t="s">
        <v>379</v>
      </c>
      <c r="I26" s="19" t="s">
        <v>380</v>
      </c>
      <c r="J26" s="19" t="s">
        <v>381</v>
      </c>
      <c r="K26" s="19" t="s">
        <v>382</v>
      </c>
      <c r="L26" s="19" t="s">
        <v>213</v>
      </c>
      <c r="M26" s="24" t="s">
        <v>108</v>
      </c>
      <c r="N26" s="19" t="s">
        <v>302</v>
      </c>
      <c r="O26" s="19" t="s">
        <v>226</v>
      </c>
      <c r="P26" s="19" t="s">
        <v>226</v>
      </c>
      <c r="Q26" s="19"/>
      <c r="R26" s="19" t="s">
        <v>383</v>
      </c>
      <c r="S26" s="19"/>
      <c r="T26" s="19"/>
    </row>
    <row r="27" spans="1:20" ht="105" customHeight="1" x14ac:dyDescent="0.3">
      <c r="A27" s="18" t="s">
        <v>384</v>
      </c>
      <c r="B27" s="19" t="s">
        <v>122</v>
      </c>
      <c r="C27" s="19" t="s">
        <v>111</v>
      </c>
      <c r="D27" s="19" t="s">
        <v>385</v>
      </c>
      <c r="E27" s="19" t="s">
        <v>130</v>
      </c>
      <c r="F27" s="19" t="s">
        <v>207</v>
      </c>
      <c r="G27" s="19" t="s">
        <v>208</v>
      </c>
      <c r="H27" s="19" t="s">
        <v>386</v>
      </c>
      <c r="I27" s="19" t="s">
        <v>218</v>
      </c>
      <c r="J27" s="19" t="s">
        <v>387</v>
      </c>
      <c r="K27" s="19" t="s">
        <v>388</v>
      </c>
      <c r="L27" s="19" t="s">
        <v>213</v>
      </c>
      <c r="M27" s="25" t="s">
        <v>278</v>
      </c>
      <c r="N27" s="19" t="s">
        <v>389</v>
      </c>
      <c r="O27" s="19" t="s">
        <v>226</v>
      </c>
      <c r="P27" s="19" t="s">
        <v>226</v>
      </c>
      <c r="Q27" s="19"/>
      <c r="R27" s="19" t="s">
        <v>390</v>
      </c>
      <c r="S27" s="19"/>
      <c r="T27" s="19"/>
    </row>
    <row r="28" spans="1:20" ht="105" customHeight="1" x14ac:dyDescent="0.3">
      <c r="A28" s="18" t="s">
        <v>391</v>
      </c>
      <c r="B28" s="19" t="s">
        <v>125</v>
      </c>
      <c r="C28" s="19" t="s">
        <v>111</v>
      </c>
      <c r="D28" s="19" t="s">
        <v>392</v>
      </c>
      <c r="E28" s="19" t="s">
        <v>130</v>
      </c>
      <c r="F28" s="19" t="s">
        <v>207</v>
      </c>
      <c r="G28" s="19" t="s">
        <v>393</v>
      </c>
      <c r="H28" s="19" t="s">
        <v>394</v>
      </c>
      <c r="I28" s="19" t="s">
        <v>395</v>
      </c>
      <c r="J28" s="19" t="s">
        <v>396</v>
      </c>
      <c r="K28" s="19" t="s">
        <v>397</v>
      </c>
      <c r="L28" s="19" t="s">
        <v>213</v>
      </c>
      <c r="M28" s="24" t="s">
        <v>108</v>
      </c>
      <c r="N28" s="19" t="s">
        <v>398</v>
      </c>
      <c r="O28" s="19" t="s">
        <v>226</v>
      </c>
      <c r="P28" s="19" t="s">
        <v>226</v>
      </c>
      <c r="Q28" s="19"/>
      <c r="R28" s="19" t="s">
        <v>262</v>
      </c>
      <c r="S28" s="19"/>
      <c r="T28" s="19"/>
    </row>
    <row r="29" spans="1:20" ht="105" customHeight="1" x14ac:dyDescent="0.3">
      <c r="A29" s="18" t="s">
        <v>399</v>
      </c>
      <c r="B29" s="19" t="s">
        <v>125</v>
      </c>
      <c r="C29" s="19" t="s">
        <v>111</v>
      </c>
      <c r="D29" s="19" t="s">
        <v>400</v>
      </c>
      <c r="E29" s="19" t="s">
        <v>117</v>
      </c>
      <c r="F29" s="19" t="s">
        <v>207</v>
      </c>
      <c r="G29" s="19" t="s">
        <v>393</v>
      </c>
      <c r="H29" s="19" t="s">
        <v>401</v>
      </c>
      <c r="I29" s="19" t="s">
        <v>402</v>
      </c>
      <c r="J29" s="19" t="s">
        <v>403</v>
      </c>
      <c r="K29" s="19" t="s">
        <v>397</v>
      </c>
      <c r="L29" s="19" t="s">
        <v>213</v>
      </c>
      <c r="M29" s="24" t="s">
        <v>108</v>
      </c>
      <c r="N29" s="19" t="s">
        <v>404</v>
      </c>
      <c r="O29" s="19" t="s">
        <v>215</v>
      </c>
      <c r="P29" s="19" t="s">
        <v>226</v>
      </c>
      <c r="Q29" s="19"/>
      <c r="R29" s="19" t="s">
        <v>253</v>
      </c>
      <c r="S29" s="19" t="s">
        <v>217</v>
      </c>
      <c r="T29" s="19" t="s">
        <v>405</v>
      </c>
    </row>
    <row r="30" spans="1:20" ht="105" customHeight="1" x14ac:dyDescent="0.3">
      <c r="A30" s="18" t="s">
        <v>406</v>
      </c>
      <c r="B30" s="19" t="s">
        <v>125</v>
      </c>
      <c r="C30" s="19" t="s">
        <v>111</v>
      </c>
      <c r="D30" s="19" t="s">
        <v>407</v>
      </c>
      <c r="E30" s="19" t="s">
        <v>130</v>
      </c>
      <c r="F30" s="19" t="s">
        <v>207</v>
      </c>
      <c r="G30" s="19" t="s">
        <v>393</v>
      </c>
      <c r="H30" s="19" t="s">
        <v>408</v>
      </c>
      <c r="I30" s="19" t="s">
        <v>409</v>
      </c>
      <c r="J30" s="19" t="s">
        <v>410</v>
      </c>
      <c r="K30" s="19" t="s">
        <v>397</v>
      </c>
      <c r="L30" s="19" t="s">
        <v>213</v>
      </c>
      <c r="M30" s="24" t="s">
        <v>108</v>
      </c>
      <c r="N30" s="19" t="s">
        <v>302</v>
      </c>
      <c r="O30" s="19" t="s">
        <v>226</v>
      </c>
      <c r="P30" s="19" t="s">
        <v>226</v>
      </c>
      <c r="Q30" s="19"/>
      <c r="R30" s="19" t="s">
        <v>262</v>
      </c>
      <c r="S30" s="19"/>
      <c r="T30" s="19"/>
    </row>
    <row r="31" spans="1:20" ht="105" customHeight="1" x14ac:dyDescent="0.3">
      <c r="A31" s="18" t="s">
        <v>411</v>
      </c>
      <c r="B31" s="19" t="s">
        <v>128</v>
      </c>
      <c r="C31" s="19" t="s">
        <v>111</v>
      </c>
      <c r="D31" s="19" t="s">
        <v>412</v>
      </c>
      <c r="E31" s="19" t="s">
        <v>130</v>
      </c>
      <c r="F31" s="19" t="s">
        <v>207</v>
      </c>
      <c r="G31" s="19" t="s">
        <v>393</v>
      </c>
      <c r="H31" s="19" t="s">
        <v>413</v>
      </c>
      <c r="I31" s="19" t="s">
        <v>414</v>
      </c>
      <c r="J31" s="19" t="s">
        <v>415</v>
      </c>
      <c r="K31" s="19" t="s">
        <v>397</v>
      </c>
      <c r="L31" s="19" t="s">
        <v>213</v>
      </c>
      <c r="M31" s="24" t="s">
        <v>108</v>
      </c>
      <c r="N31" s="19" t="s">
        <v>416</v>
      </c>
      <c r="O31" s="19" t="s">
        <v>226</v>
      </c>
      <c r="P31" s="19" t="s">
        <v>226</v>
      </c>
      <c r="Q31" s="19"/>
      <c r="R31" s="19" t="s">
        <v>262</v>
      </c>
      <c r="S31" s="19"/>
      <c r="T31" s="19"/>
    </row>
    <row r="32" spans="1:20" ht="105" customHeight="1" x14ac:dyDescent="0.3">
      <c r="A32" s="18" t="s">
        <v>417</v>
      </c>
      <c r="B32" s="19" t="s">
        <v>128</v>
      </c>
      <c r="C32" s="19" t="s">
        <v>111</v>
      </c>
      <c r="D32" s="19" t="s">
        <v>418</v>
      </c>
      <c r="E32" s="19" t="s">
        <v>130</v>
      </c>
      <c r="F32" s="19" t="s">
        <v>207</v>
      </c>
      <c r="G32" s="19" t="s">
        <v>393</v>
      </c>
      <c r="H32" s="19" t="s">
        <v>419</v>
      </c>
      <c r="I32" s="19" t="s">
        <v>420</v>
      </c>
      <c r="J32" s="19" t="s">
        <v>421</v>
      </c>
      <c r="K32" s="19" t="s">
        <v>397</v>
      </c>
      <c r="L32" s="19" t="s">
        <v>213</v>
      </c>
      <c r="M32" s="24" t="s">
        <v>108</v>
      </c>
      <c r="N32" s="19" t="s">
        <v>302</v>
      </c>
      <c r="O32" s="19" t="s">
        <v>226</v>
      </c>
      <c r="P32" s="19" t="s">
        <v>226</v>
      </c>
      <c r="Q32" s="19"/>
      <c r="R32" s="19" t="s">
        <v>262</v>
      </c>
      <c r="S32" s="19"/>
      <c r="T32" s="19"/>
    </row>
    <row r="33" spans="1:20" ht="105" customHeight="1" x14ac:dyDescent="0.3">
      <c r="A33" s="18" t="s">
        <v>422</v>
      </c>
      <c r="B33" s="19" t="s">
        <v>128</v>
      </c>
      <c r="C33" s="19" t="s">
        <v>111</v>
      </c>
      <c r="D33" s="19" t="s">
        <v>423</v>
      </c>
      <c r="E33" s="19" t="s">
        <v>424</v>
      </c>
      <c r="F33" s="19" t="s">
        <v>425</v>
      </c>
      <c r="G33" s="19" t="s">
        <v>393</v>
      </c>
      <c r="H33" s="19" t="s">
        <v>426</v>
      </c>
      <c r="I33" s="19" t="s">
        <v>427</v>
      </c>
      <c r="J33" s="19" t="s">
        <v>428</v>
      </c>
      <c r="K33" s="19" t="s">
        <v>429</v>
      </c>
      <c r="L33" s="19" t="s">
        <v>430</v>
      </c>
      <c r="M33" s="25" t="s">
        <v>278</v>
      </c>
      <c r="N33" s="19" t="s">
        <v>431</v>
      </c>
      <c r="O33" s="19" t="s">
        <v>226</v>
      </c>
      <c r="P33" s="19" t="s">
        <v>226</v>
      </c>
      <c r="Q33" s="20" t="s">
        <v>432</v>
      </c>
      <c r="R33" s="19" t="s">
        <v>433</v>
      </c>
      <c r="S33" s="19"/>
      <c r="T33" s="19"/>
    </row>
    <row r="34" spans="1:20" ht="105" customHeight="1" x14ac:dyDescent="0.3">
      <c r="A34" s="18" t="s">
        <v>434</v>
      </c>
      <c r="B34" s="19" t="s">
        <v>128</v>
      </c>
      <c r="C34" s="19" t="s">
        <v>111</v>
      </c>
      <c r="D34" s="19" t="s">
        <v>435</v>
      </c>
      <c r="E34" s="19" t="s">
        <v>424</v>
      </c>
      <c r="F34" s="19" t="s">
        <v>425</v>
      </c>
      <c r="G34" s="19" t="s">
        <v>393</v>
      </c>
      <c r="H34" s="19" t="s">
        <v>436</v>
      </c>
      <c r="I34" s="19" t="s">
        <v>437</v>
      </c>
      <c r="J34" s="19" t="s">
        <v>438</v>
      </c>
      <c r="K34" s="19" t="s">
        <v>439</v>
      </c>
      <c r="L34" s="19" t="s">
        <v>430</v>
      </c>
      <c r="M34" s="25" t="s">
        <v>278</v>
      </c>
      <c r="N34" s="19" t="s">
        <v>440</v>
      </c>
      <c r="O34" s="19" t="s">
        <v>226</v>
      </c>
      <c r="P34" s="19" t="s">
        <v>226</v>
      </c>
      <c r="Q34" s="20" t="s">
        <v>441</v>
      </c>
      <c r="R34" s="19" t="s">
        <v>433</v>
      </c>
      <c r="S34" s="19"/>
      <c r="T34" s="19"/>
    </row>
    <row r="35" spans="1:20" ht="105" customHeight="1" x14ac:dyDescent="0.3">
      <c r="A35" s="18" t="s">
        <v>442</v>
      </c>
      <c r="B35" s="19" t="s">
        <v>128</v>
      </c>
      <c r="C35" s="19" t="s">
        <v>111</v>
      </c>
      <c r="D35" s="19" t="s">
        <v>443</v>
      </c>
      <c r="E35" s="19" t="s">
        <v>130</v>
      </c>
      <c r="F35" s="19" t="s">
        <v>207</v>
      </c>
      <c r="G35" s="19" t="s">
        <v>393</v>
      </c>
      <c r="H35" s="19" t="s">
        <v>444</v>
      </c>
      <c r="I35" s="19" t="s">
        <v>445</v>
      </c>
      <c r="J35" s="19" t="s">
        <v>446</v>
      </c>
      <c r="K35" s="19" t="s">
        <v>447</v>
      </c>
      <c r="L35" s="19" t="s">
        <v>213</v>
      </c>
      <c r="M35" s="24" t="s">
        <v>108</v>
      </c>
      <c r="N35" s="19" t="s">
        <v>302</v>
      </c>
      <c r="O35" s="19" t="s">
        <v>226</v>
      </c>
      <c r="P35" s="19" t="s">
        <v>226</v>
      </c>
      <c r="Q35" s="19"/>
      <c r="R35" s="19" t="s">
        <v>262</v>
      </c>
      <c r="S35" s="19"/>
      <c r="T35" s="19"/>
    </row>
    <row r="36" spans="1:20" ht="105" customHeight="1" x14ac:dyDescent="0.3">
      <c r="A36" s="18" t="s">
        <v>448</v>
      </c>
      <c r="B36" s="19" t="s">
        <v>132</v>
      </c>
      <c r="C36" s="19" t="s">
        <v>111</v>
      </c>
      <c r="D36" s="19" t="s">
        <v>449</v>
      </c>
      <c r="E36" s="19" t="s">
        <v>130</v>
      </c>
      <c r="F36" s="19" t="s">
        <v>425</v>
      </c>
      <c r="G36" s="19" t="s">
        <v>393</v>
      </c>
      <c r="H36" s="19" t="s">
        <v>450</v>
      </c>
      <c r="I36" s="19" t="s">
        <v>451</v>
      </c>
      <c r="J36" s="19" t="s">
        <v>452</v>
      </c>
      <c r="K36" s="19" t="s">
        <v>453</v>
      </c>
      <c r="L36" s="19" t="s">
        <v>213</v>
      </c>
      <c r="M36" s="24" t="s">
        <v>108</v>
      </c>
      <c r="N36" s="19" t="s">
        <v>302</v>
      </c>
      <c r="O36" s="19" t="s">
        <v>226</v>
      </c>
      <c r="P36" s="19" t="s">
        <v>226</v>
      </c>
      <c r="Q36" s="19"/>
      <c r="R36" s="19" t="s">
        <v>262</v>
      </c>
      <c r="S36" s="19"/>
      <c r="T36" s="19"/>
    </row>
    <row r="37" spans="1:20" ht="105" customHeight="1" x14ac:dyDescent="0.3">
      <c r="A37" s="18" t="s">
        <v>454</v>
      </c>
      <c r="B37" s="19" t="s">
        <v>132</v>
      </c>
      <c r="C37" s="19" t="s">
        <v>111</v>
      </c>
      <c r="D37" s="19" t="s">
        <v>455</v>
      </c>
      <c r="E37" s="19" t="s">
        <v>130</v>
      </c>
      <c r="F37" s="19" t="s">
        <v>425</v>
      </c>
      <c r="G37" s="19" t="s">
        <v>393</v>
      </c>
      <c r="H37" s="19" t="s">
        <v>456</v>
      </c>
      <c r="I37" s="19" t="s">
        <v>457</v>
      </c>
      <c r="J37" s="19" t="s">
        <v>458</v>
      </c>
      <c r="K37" s="19" t="s">
        <v>397</v>
      </c>
      <c r="L37" s="19" t="s">
        <v>213</v>
      </c>
      <c r="M37" s="25" t="s">
        <v>278</v>
      </c>
      <c r="N37" s="19" t="s">
        <v>459</v>
      </c>
      <c r="O37" s="19" t="s">
        <v>226</v>
      </c>
      <c r="P37" s="19" t="s">
        <v>226</v>
      </c>
      <c r="Q37" s="19"/>
      <c r="R37" s="19" t="s">
        <v>433</v>
      </c>
      <c r="S37" s="19"/>
      <c r="T37" s="19"/>
    </row>
    <row r="38" spans="1:20" ht="105" customHeight="1" x14ac:dyDescent="0.3">
      <c r="A38" s="18" t="s">
        <v>460</v>
      </c>
      <c r="B38" s="19" t="s">
        <v>132</v>
      </c>
      <c r="C38" s="19" t="s">
        <v>111</v>
      </c>
      <c r="D38" s="19" t="s">
        <v>461</v>
      </c>
      <c r="E38" s="19" t="s">
        <v>117</v>
      </c>
      <c r="F38" s="19" t="s">
        <v>425</v>
      </c>
      <c r="G38" s="19" t="s">
        <v>393</v>
      </c>
      <c r="H38" s="19" t="s">
        <v>462</v>
      </c>
      <c r="I38" s="19" t="s">
        <v>463</v>
      </c>
      <c r="J38" s="19" t="s">
        <v>464</v>
      </c>
      <c r="K38" s="19" t="s">
        <v>397</v>
      </c>
      <c r="L38" s="19" t="s">
        <v>213</v>
      </c>
      <c r="M38" s="25" t="s">
        <v>278</v>
      </c>
      <c r="N38" s="19" t="s">
        <v>465</v>
      </c>
      <c r="O38" s="19" t="s">
        <v>226</v>
      </c>
      <c r="P38" s="19" t="s">
        <v>226</v>
      </c>
      <c r="Q38" s="19"/>
      <c r="R38" s="19" t="s">
        <v>433</v>
      </c>
      <c r="S38" s="19"/>
      <c r="T38" s="19"/>
    </row>
    <row r="39" spans="1:20" ht="105" customHeight="1" x14ac:dyDescent="0.3">
      <c r="A39" s="18" t="s">
        <v>466</v>
      </c>
      <c r="B39" s="19" t="s">
        <v>132</v>
      </c>
      <c r="C39" s="19" t="s">
        <v>111</v>
      </c>
      <c r="D39" s="19" t="s">
        <v>467</v>
      </c>
      <c r="E39" s="19" t="s">
        <v>424</v>
      </c>
      <c r="F39" s="19" t="s">
        <v>468</v>
      </c>
      <c r="G39" s="19" t="s">
        <v>393</v>
      </c>
      <c r="H39" s="19" t="s">
        <v>469</v>
      </c>
      <c r="I39" s="19" t="s">
        <v>470</v>
      </c>
      <c r="J39" s="19" t="s">
        <v>471</v>
      </c>
      <c r="K39" s="19" t="s">
        <v>472</v>
      </c>
      <c r="L39" s="19" t="s">
        <v>430</v>
      </c>
      <c r="M39" s="25" t="s">
        <v>278</v>
      </c>
      <c r="N39" s="19" t="s">
        <v>473</v>
      </c>
      <c r="O39" s="19" t="s">
        <v>226</v>
      </c>
      <c r="P39" s="19" t="s">
        <v>226</v>
      </c>
      <c r="Q39" s="20" t="s">
        <v>474</v>
      </c>
      <c r="R39" s="19" t="s">
        <v>433</v>
      </c>
      <c r="S39" s="19"/>
      <c r="T39" s="19"/>
    </row>
    <row r="40" spans="1:20" ht="105" customHeight="1" x14ac:dyDescent="0.3">
      <c r="A40" s="18" t="s">
        <v>475</v>
      </c>
      <c r="B40" s="19" t="s">
        <v>134</v>
      </c>
      <c r="C40" s="19" t="s">
        <v>111</v>
      </c>
      <c r="D40" s="19" t="s">
        <v>476</v>
      </c>
      <c r="E40" s="19" t="s">
        <v>117</v>
      </c>
      <c r="F40" s="19" t="s">
        <v>207</v>
      </c>
      <c r="G40" s="19" t="s">
        <v>393</v>
      </c>
      <c r="H40" s="19" t="s">
        <v>477</v>
      </c>
      <c r="I40" s="19" t="s">
        <v>478</v>
      </c>
      <c r="J40" s="19" t="s">
        <v>479</v>
      </c>
      <c r="K40" s="19" t="s">
        <v>397</v>
      </c>
      <c r="L40" s="19" t="s">
        <v>213</v>
      </c>
      <c r="M40" s="24" t="s">
        <v>108</v>
      </c>
      <c r="N40" s="19" t="s">
        <v>302</v>
      </c>
      <c r="O40" s="19" t="s">
        <v>226</v>
      </c>
      <c r="P40" s="19" t="s">
        <v>226</v>
      </c>
      <c r="Q40" s="19"/>
      <c r="R40" s="19" t="s">
        <v>262</v>
      </c>
      <c r="S40" s="19"/>
      <c r="T40" s="19"/>
    </row>
    <row r="41" spans="1:20" ht="105" customHeight="1" x14ac:dyDescent="0.3">
      <c r="A41" s="18" t="s">
        <v>480</v>
      </c>
      <c r="B41" s="19" t="s">
        <v>134</v>
      </c>
      <c r="C41" s="19" t="s">
        <v>111</v>
      </c>
      <c r="D41" s="19" t="s">
        <v>481</v>
      </c>
      <c r="E41" s="19" t="s">
        <v>130</v>
      </c>
      <c r="F41" s="19" t="s">
        <v>207</v>
      </c>
      <c r="G41" s="19" t="s">
        <v>393</v>
      </c>
      <c r="H41" s="19" t="s">
        <v>482</v>
      </c>
      <c r="I41" s="19" t="s">
        <v>218</v>
      </c>
      <c r="J41" s="19" t="s">
        <v>483</v>
      </c>
      <c r="K41" s="19" t="s">
        <v>397</v>
      </c>
      <c r="L41" s="19" t="s">
        <v>213</v>
      </c>
      <c r="M41" s="24" t="s">
        <v>108</v>
      </c>
      <c r="N41" s="19" t="s">
        <v>302</v>
      </c>
      <c r="O41" s="19" t="s">
        <v>226</v>
      </c>
      <c r="P41" s="19" t="s">
        <v>226</v>
      </c>
      <c r="Q41" s="19"/>
      <c r="R41" s="19" t="s">
        <v>287</v>
      </c>
      <c r="S41" s="19"/>
      <c r="T41" s="19"/>
    </row>
    <row r="42" spans="1:20" ht="105" customHeight="1" x14ac:dyDescent="0.3">
      <c r="A42" s="18" t="s">
        <v>484</v>
      </c>
      <c r="B42" s="19" t="s">
        <v>134</v>
      </c>
      <c r="C42" s="19" t="s">
        <v>111</v>
      </c>
      <c r="D42" s="19" t="s">
        <v>485</v>
      </c>
      <c r="E42" s="19" t="s">
        <v>130</v>
      </c>
      <c r="F42" s="19" t="s">
        <v>207</v>
      </c>
      <c r="G42" s="19" t="s">
        <v>393</v>
      </c>
      <c r="H42" s="19" t="s">
        <v>486</v>
      </c>
      <c r="I42" s="19" t="s">
        <v>218</v>
      </c>
      <c r="J42" s="19" t="s">
        <v>487</v>
      </c>
      <c r="K42" s="19" t="s">
        <v>397</v>
      </c>
      <c r="L42" s="19" t="s">
        <v>213</v>
      </c>
      <c r="M42" s="25" t="s">
        <v>278</v>
      </c>
      <c r="N42" s="19" t="s">
        <v>473</v>
      </c>
      <c r="O42" s="19" t="s">
        <v>226</v>
      </c>
      <c r="P42" s="19" t="s">
        <v>226</v>
      </c>
      <c r="Q42" s="19"/>
      <c r="R42" s="19" t="s">
        <v>287</v>
      </c>
      <c r="S42" s="19"/>
      <c r="T42" s="19"/>
    </row>
    <row r="43" spans="1:20" ht="105" customHeight="1" x14ac:dyDescent="0.3">
      <c r="A43" s="18" t="s">
        <v>488</v>
      </c>
      <c r="B43" s="19" t="s">
        <v>134</v>
      </c>
      <c r="C43" s="19" t="s">
        <v>111</v>
      </c>
      <c r="D43" s="19" t="s">
        <v>489</v>
      </c>
      <c r="E43" s="19" t="s">
        <v>130</v>
      </c>
      <c r="F43" s="19" t="s">
        <v>207</v>
      </c>
      <c r="G43" s="19" t="s">
        <v>393</v>
      </c>
      <c r="H43" s="19" t="s">
        <v>490</v>
      </c>
      <c r="I43" s="19" t="s">
        <v>218</v>
      </c>
      <c r="J43" s="19" t="s">
        <v>491</v>
      </c>
      <c r="K43" s="19" t="s">
        <v>397</v>
      </c>
      <c r="L43" s="19" t="s">
        <v>213</v>
      </c>
      <c r="M43" s="25" t="s">
        <v>278</v>
      </c>
      <c r="N43" s="19" t="s">
        <v>492</v>
      </c>
      <c r="O43" s="19" t="s">
        <v>226</v>
      </c>
      <c r="P43" s="19" t="s">
        <v>226</v>
      </c>
      <c r="Q43" s="19"/>
      <c r="R43" s="19" t="s">
        <v>287</v>
      </c>
      <c r="S43" s="19"/>
      <c r="T43" s="19"/>
    </row>
    <row r="44" spans="1:20" ht="105" customHeight="1" x14ac:dyDescent="0.3">
      <c r="A44" s="18" t="s">
        <v>493</v>
      </c>
      <c r="B44" s="19" t="s">
        <v>136</v>
      </c>
      <c r="C44" s="19" t="s">
        <v>111</v>
      </c>
      <c r="D44" s="19" t="s">
        <v>494</v>
      </c>
      <c r="E44" s="19" t="s">
        <v>117</v>
      </c>
      <c r="F44" s="19" t="s">
        <v>207</v>
      </c>
      <c r="G44" s="19" t="s">
        <v>393</v>
      </c>
      <c r="H44" s="19" t="s">
        <v>495</v>
      </c>
      <c r="I44" s="19" t="s">
        <v>496</v>
      </c>
      <c r="J44" s="19" t="s">
        <v>497</v>
      </c>
      <c r="K44" s="19" t="s">
        <v>397</v>
      </c>
      <c r="L44" s="19" t="s">
        <v>213</v>
      </c>
      <c r="M44" s="24" t="s">
        <v>108</v>
      </c>
      <c r="N44" s="19" t="s">
        <v>498</v>
      </c>
      <c r="O44" s="19" t="s">
        <v>215</v>
      </c>
      <c r="P44" s="19" t="s">
        <v>226</v>
      </c>
      <c r="Q44" s="19"/>
      <c r="R44" s="19" t="s">
        <v>433</v>
      </c>
      <c r="S44" s="19" t="s">
        <v>217</v>
      </c>
      <c r="T44" s="19" t="s">
        <v>499</v>
      </c>
    </row>
    <row r="45" spans="1:20" ht="105" customHeight="1" x14ac:dyDescent="0.3">
      <c r="A45" s="18" t="s">
        <v>500</v>
      </c>
      <c r="B45" s="19" t="s">
        <v>136</v>
      </c>
      <c r="C45" s="19" t="s">
        <v>111</v>
      </c>
      <c r="D45" s="19" t="s">
        <v>501</v>
      </c>
      <c r="E45" s="19" t="s">
        <v>117</v>
      </c>
      <c r="F45" s="19" t="s">
        <v>425</v>
      </c>
      <c r="G45" s="19" t="s">
        <v>393</v>
      </c>
      <c r="H45" s="19" t="s">
        <v>502</v>
      </c>
      <c r="I45" s="19" t="s">
        <v>503</v>
      </c>
      <c r="J45" s="19" t="s">
        <v>504</v>
      </c>
      <c r="K45" s="19" t="s">
        <v>397</v>
      </c>
      <c r="L45" s="19" t="s">
        <v>213</v>
      </c>
      <c r="M45" s="24" t="s">
        <v>108</v>
      </c>
      <c r="N45" s="19" t="s">
        <v>295</v>
      </c>
      <c r="O45" s="19" t="s">
        <v>215</v>
      </c>
      <c r="P45" s="19" t="s">
        <v>226</v>
      </c>
      <c r="Q45" s="19"/>
      <c r="R45" s="19" t="s">
        <v>505</v>
      </c>
      <c r="S45" s="19" t="s">
        <v>217</v>
      </c>
      <c r="T45" s="19" t="s">
        <v>506</v>
      </c>
    </row>
    <row r="46" spans="1:20" ht="105" customHeight="1" x14ac:dyDescent="0.3">
      <c r="A46" s="18" t="s">
        <v>507</v>
      </c>
      <c r="B46" s="19" t="s">
        <v>136</v>
      </c>
      <c r="C46" s="19" t="s">
        <v>111</v>
      </c>
      <c r="D46" s="19" t="s">
        <v>508</v>
      </c>
      <c r="E46" s="19" t="s">
        <v>130</v>
      </c>
      <c r="F46" s="19" t="s">
        <v>425</v>
      </c>
      <c r="G46" s="19" t="s">
        <v>393</v>
      </c>
      <c r="H46" s="19" t="s">
        <v>509</v>
      </c>
      <c r="I46" s="19" t="s">
        <v>218</v>
      </c>
      <c r="J46" s="19" t="s">
        <v>510</v>
      </c>
      <c r="K46" s="19" t="s">
        <v>397</v>
      </c>
      <c r="L46" s="19" t="s">
        <v>213</v>
      </c>
      <c r="M46" s="24" t="s">
        <v>108</v>
      </c>
      <c r="N46" s="19" t="s">
        <v>302</v>
      </c>
      <c r="O46" s="19" t="s">
        <v>226</v>
      </c>
      <c r="P46" s="19" t="s">
        <v>226</v>
      </c>
      <c r="Q46" s="19"/>
      <c r="R46" s="19" t="s">
        <v>433</v>
      </c>
      <c r="S46" s="19"/>
      <c r="T46" s="19"/>
    </row>
    <row r="47" spans="1:20" ht="105" customHeight="1" x14ac:dyDescent="0.3">
      <c r="A47" s="18" t="s">
        <v>511</v>
      </c>
      <c r="B47" s="19" t="s">
        <v>136</v>
      </c>
      <c r="C47" s="19" t="s">
        <v>111</v>
      </c>
      <c r="D47" s="19" t="s">
        <v>512</v>
      </c>
      <c r="E47" s="19" t="s">
        <v>424</v>
      </c>
      <c r="F47" s="19" t="s">
        <v>425</v>
      </c>
      <c r="G47" s="19" t="s">
        <v>393</v>
      </c>
      <c r="H47" s="19" t="s">
        <v>513</v>
      </c>
      <c r="I47" s="19" t="s">
        <v>218</v>
      </c>
      <c r="J47" s="19" t="s">
        <v>514</v>
      </c>
      <c r="K47" s="19" t="s">
        <v>515</v>
      </c>
      <c r="L47" s="19" t="s">
        <v>430</v>
      </c>
      <c r="M47" s="25" t="s">
        <v>278</v>
      </c>
      <c r="N47" s="19" t="s">
        <v>473</v>
      </c>
      <c r="O47" s="19" t="s">
        <v>226</v>
      </c>
      <c r="P47" s="19" t="s">
        <v>226</v>
      </c>
      <c r="Q47" s="20" t="s">
        <v>516</v>
      </c>
      <c r="R47" s="19" t="s">
        <v>517</v>
      </c>
      <c r="S47" s="19"/>
      <c r="T47" s="19"/>
    </row>
    <row r="48" spans="1:20" ht="105" customHeight="1" x14ac:dyDescent="0.3">
      <c r="A48" s="18" t="s">
        <v>518</v>
      </c>
      <c r="B48" s="19" t="s">
        <v>136</v>
      </c>
      <c r="C48" s="19" t="s">
        <v>111</v>
      </c>
      <c r="D48" s="19" t="s">
        <v>519</v>
      </c>
      <c r="E48" s="19" t="s">
        <v>117</v>
      </c>
      <c r="F48" s="19" t="s">
        <v>425</v>
      </c>
      <c r="G48" s="19" t="s">
        <v>520</v>
      </c>
      <c r="H48" s="19" t="s">
        <v>521</v>
      </c>
      <c r="I48" s="19" t="s">
        <v>522</v>
      </c>
      <c r="J48" s="19" t="s">
        <v>523</v>
      </c>
      <c r="K48" s="19" t="s">
        <v>397</v>
      </c>
      <c r="L48" s="19" t="s">
        <v>213</v>
      </c>
      <c r="M48" s="25" t="s">
        <v>278</v>
      </c>
      <c r="N48" s="19" t="s">
        <v>524</v>
      </c>
      <c r="O48" s="19" t="s">
        <v>226</v>
      </c>
      <c r="P48" s="19" t="s">
        <v>226</v>
      </c>
      <c r="Q48" s="19"/>
      <c r="R48" s="19" t="s">
        <v>433</v>
      </c>
      <c r="S48" s="19"/>
      <c r="T48" s="19"/>
    </row>
    <row r="49" spans="1:20" ht="105" customHeight="1" x14ac:dyDescent="0.3">
      <c r="A49" s="18" t="s">
        <v>525</v>
      </c>
      <c r="B49" s="19" t="s">
        <v>136</v>
      </c>
      <c r="C49" s="19" t="s">
        <v>111</v>
      </c>
      <c r="D49" s="19" t="s">
        <v>526</v>
      </c>
      <c r="E49" s="19" t="s">
        <v>130</v>
      </c>
      <c r="F49" s="19" t="s">
        <v>328</v>
      </c>
      <c r="G49" s="19" t="s">
        <v>393</v>
      </c>
      <c r="H49" s="19" t="s">
        <v>527</v>
      </c>
      <c r="I49" s="19" t="s">
        <v>528</v>
      </c>
      <c r="J49" s="19" t="s">
        <v>529</v>
      </c>
      <c r="K49" s="19" t="s">
        <v>530</v>
      </c>
      <c r="L49" s="19" t="s">
        <v>213</v>
      </c>
      <c r="M49" s="24" t="s">
        <v>108</v>
      </c>
      <c r="N49" s="19" t="s">
        <v>531</v>
      </c>
      <c r="O49" s="19" t="s">
        <v>226</v>
      </c>
      <c r="P49" s="19" t="s">
        <v>226</v>
      </c>
      <c r="Q49" s="19"/>
      <c r="R49" s="19" t="s">
        <v>532</v>
      </c>
      <c r="S49" s="19"/>
      <c r="T49" s="19"/>
    </row>
    <row r="50" spans="1:20" ht="105" customHeight="1" x14ac:dyDescent="0.3">
      <c r="A50" s="18" t="s">
        <v>533</v>
      </c>
      <c r="B50" s="19" t="s">
        <v>136</v>
      </c>
      <c r="C50" s="19" t="s">
        <v>111</v>
      </c>
      <c r="D50" s="19" t="s">
        <v>534</v>
      </c>
      <c r="E50" s="19" t="s">
        <v>424</v>
      </c>
      <c r="F50" s="19" t="s">
        <v>425</v>
      </c>
      <c r="G50" s="19" t="s">
        <v>393</v>
      </c>
      <c r="H50" s="19" t="s">
        <v>535</v>
      </c>
      <c r="I50" s="19" t="s">
        <v>218</v>
      </c>
      <c r="J50" s="19" t="s">
        <v>536</v>
      </c>
      <c r="K50" s="19" t="s">
        <v>397</v>
      </c>
      <c r="L50" s="19" t="s">
        <v>213</v>
      </c>
      <c r="M50" s="25" t="s">
        <v>278</v>
      </c>
      <c r="N50" s="19" t="s">
        <v>537</v>
      </c>
      <c r="O50" s="19" t="s">
        <v>226</v>
      </c>
      <c r="P50" s="19" t="s">
        <v>226</v>
      </c>
      <c r="Q50" s="19"/>
      <c r="R50" s="19" t="s">
        <v>433</v>
      </c>
      <c r="S50" s="19"/>
      <c r="T50" s="19"/>
    </row>
    <row r="51" spans="1:20" ht="105" customHeight="1" x14ac:dyDescent="0.3">
      <c r="A51" s="18" t="s">
        <v>538</v>
      </c>
      <c r="B51" s="19" t="s">
        <v>138</v>
      </c>
      <c r="C51" s="19" t="s">
        <v>15</v>
      </c>
      <c r="D51" s="19" t="s">
        <v>539</v>
      </c>
      <c r="E51" s="20" t="s">
        <v>113</v>
      </c>
      <c r="F51" s="19" t="s">
        <v>207</v>
      </c>
      <c r="G51" s="19" t="s">
        <v>208</v>
      </c>
      <c r="H51" s="19" t="s">
        <v>540</v>
      </c>
      <c r="I51" s="19" t="s">
        <v>541</v>
      </c>
      <c r="J51" s="19" t="s">
        <v>542</v>
      </c>
      <c r="K51" s="19" t="s">
        <v>543</v>
      </c>
      <c r="L51" s="19" t="s">
        <v>213</v>
      </c>
      <c r="M51" s="24" t="s">
        <v>108</v>
      </c>
      <c r="N51" s="19" t="s">
        <v>544</v>
      </c>
      <c r="O51" s="19" t="s">
        <v>215</v>
      </c>
      <c r="P51" s="19" t="s">
        <v>215</v>
      </c>
      <c r="Q51" s="19"/>
      <c r="R51" s="19" t="s">
        <v>545</v>
      </c>
      <c r="S51" s="19" t="s">
        <v>217</v>
      </c>
      <c r="T51" s="19" t="s">
        <v>546</v>
      </c>
    </row>
    <row r="52" spans="1:20" ht="105" customHeight="1" x14ac:dyDescent="0.3">
      <c r="A52" s="18" t="s">
        <v>547</v>
      </c>
      <c r="B52" s="19" t="s">
        <v>138</v>
      </c>
      <c r="C52" s="19" t="s">
        <v>15</v>
      </c>
      <c r="D52" s="19" t="s">
        <v>548</v>
      </c>
      <c r="E52" s="19" t="s">
        <v>130</v>
      </c>
      <c r="F52" s="19" t="s">
        <v>207</v>
      </c>
      <c r="G52" s="19" t="s">
        <v>208</v>
      </c>
      <c r="H52" s="19" t="s">
        <v>549</v>
      </c>
      <c r="I52" s="19" t="s">
        <v>550</v>
      </c>
      <c r="J52" s="19" t="s">
        <v>551</v>
      </c>
      <c r="K52" s="19" t="s">
        <v>552</v>
      </c>
      <c r="L52" s="19" t="s">
        <v>213</v>
      </c>
      <c r="M52" s="24" t="s">
        <v>108</v>
      </c>
      <c r="N52" s="19" t="s">
        <v>553</v>
      </c>
      <c r="O52" s="19" t="s">
        <v>215</v>
      </c>
      <c r="P52" s="19" t="s">
        <v>226</v>
      </c>
      <c r="Q52" s="19"/>
      <c r="R52" s="19" t="s">
        <v>554</v>
      </c>
      <c r="S52" s="19" t="s">
        <v>217</v>
      </c>
      <c r="T52" s="19" t="s">
        <v>555</v>
      </c>
    </row>
    <row r="53" spans="1:20" ht="105" customHeight="1" x14ac:dyDescent="0.3">
      <c r="A53" s="18" t="s">
        <v>556</v>
      </c>
      <c r="B53" s="19" t="s">
        <v>138</v>
      </c>
      <c r="C53" s="19" t="s">
        <v>15</v>
      </c>
      <c r="D53" s="19" t="s">
        <v>557</v>
      </c>
      <c r="E53" s="19" t="s">
        <v>424</v>
      </c>
      <c r="F53" s="19" t="s">
        <v>468</v>
      </c>
      <c r="G53" s="19" t="s">
        <v>208</v>
      </c>
      <c r="H53" s="19" t="s">
        <v>558</v>
      </c>
      <c r="I53" s="19" t="s">
        <v>218</v>
      </c>
      <c r="J53" s="19" t="s">
        <v>559</v>
      </c>
      <c r="K53" s="19" t="s">
        <v>560</v>
      </c>
      <c r="L53" s="19" t="s">
        <v>213</v>
      </c>
      <c r="M53" s="25" t="s">
        <v>278</v>
      </c>
      <c r="N53" s="19" t="s">
        <v>561</v>
      </c>
      <c r="O53" s="19" t="s">
        <v>226</v>
      </c>
      <c r="P53" s="19" t="s">
        <v>226</v>
      </c>
      <c r="Q53" s="19"/>
      <c r="R53" s="19" t="s">
        <v>545</v>
      </c>
      <c r="S53" s="19"/>
      <c r="T53" s="19"/>
    </row>
    <row r="54" spans="1:20" ht="105" customHeight="1" x14ac:dyDescent="0.3">
      <c r="A54" s="18" t="s">
        <v>562</v>
      </c>
      <c r="B54" s="19" t="s">
        <v>141</v>
      </c>
      <c r="C54" s="19" t="s">
        <v>15</v>
      </c>
      <c r="D54" s="19" t="s">
        <v>563</v>
      </c>
      <c r="E54" s="19" t="s">
        <v>117</v>
      </c>
      <c r="F54" s="19" t="s">
        <v>207</v>
      </c>
      <c r="G54" s="19" t="s">
        <v>208</v>
      </c>
      <c r="H54" s="19" t="s">
        <v>564</v>
      </c>
      <c r="I54" s="19" t="s">
        <v>565</v>
      </c>
      <c r="J54" s="19" t="s">
        <v>566</v>
      </c>
      <c r="K54" s="19" t="s">
        <v>567</v>
      </c>
      <c r="L54" s="19" t="s">
        <v>213</v>
      </c>
      <c r="M54" s="24" t="s">
        <v>108</v>
      </c>
      <c r="N54" s="19" t="s">
        <v>568</v>
      </c>
      <c r="O54" s="19" t="s">
        <v>215</v>
      </c>
      <c r="P54" s="19" t="s">
        <v>226</v>
      </c>
      <c r="Q54" s="19"/>
      <c r="R54" s="19" t="s">
        <v>569</v>
      </c>
      <c r="S54" s="19" t="s">
        <v>217</v>
      </c>
      <c r="T54" s="19" t="s">
        <v>570</v>
      </c>
    </row>
    <row r="55" spans="1:20" ht="105" customHeight="1" x14ac:dyDescent="0.3">
      <c r="A55" s="18" t="s">
        <v>571</v>
      </c>
      <c r="B55" s="19" t="s">
        <v>141</v>
      </c>
      <c r="C55" s="19" t="s">
        <v>15</v>
      </c>
      <c r="D55" s="19" t="s">
        <v>572</v>
      </c>
      <c r="E55" s="19" t="s">
        <v>117</v>
      </c>
      <c r="F55" s="19" t="s">
        <v>207</v>
      </c>
      <c r="G55" s="19" t="s">
        <v>208</v>
      </c>
      <c r="H55" s="19" t="s">
        <v>573</v>
      </c>
      <c r="I55" s="19" t="s">
        <v>574</v>
      </c>
      <c r="J55" s="19" t="s">
        <v>575</v>
      </c>
      <c r="K55" s="19" t="s">
        <v>576</v>
      </c>
      <c r="L55" s="19" t="s">
        <v>213</v>
      </c>
      <c r="M55" s="24" t="s">
        <v>108</v>
      </c>
      <c r="N55" s="19" t="s">
        <v>577</v>
      </c>
      <c r="O55" s="19" t="s">
        <v>215</v>
      </c>
      <c r="P55" s="19" t="s">
        <v>226</v>
      </c>
      <c r="Q55" s="19"/>
      <c r="R55" s="19" t="s">
        <v>569</v>
      </c>
      <c r="S55" s="19" t="s">
        <v>217</v>
      </c>
      <c r="T55" s="19" t="s">
        <v>578</v>
      </c>
    </row>
    <row r="56" spans="1:20" ht="105" customHeight="1" x14ac:dyDescent="0.3">
      <c r="A56" s="18" t="s">
        <v>579</v>
      </c>
      <c r="B56" s="19" t="s">
        <v>141</v>
      </c>
      <c r="C56" s="19" t="s">
        <v>15</v>
      </c>
      <c r="D56" s="19" t="s">
        <v>580</v>
      </c>
      <c r="E56" s="19" t="s">
        <v>117</v>
      </c>
      <c r="F56" s="19" t="s">
        <v>328</v>
      </c>
      <c r="G56" s="19" t="s">
        <v>208</v>
      </c>
      <c r="H56" s="19" t="s">
        <v>581</v>
      </c>
      <c r="I56" s="19" t="s">
        <v>582</v>
      </c>
      <c r="J56" s="19" t="s">
        <v>583</v>
      </c>
      <c r="K56" s="19" t="s">
        <v>584</v>
      </c>
      <c r="L56" s="19" t="s">
        <v>213</v>
      </c>
      <c r="M56" s="24" t="s">
        <v>108</v>
      </c>
      <c r="N56" s="19" t="s">
        <v>585</v>
      </c>
      <c r="O56" s="19" t="s">
        <v>215</v>
      </c>
      <c r="P56" s="19" t="s">
        <v>226</v>
      </c>
      <c r="Q56" s="19"/>
      <c r="R56" s="19" t="s">
        <v>586</v>
      </c>
      <c r="S56" s="19" t="s">
        <v>217</v>
      </c>
      <c r="T56" s="19" t="s">
        <v>587</v>
      </c>
    </row>
    <row r="57" spans="1:20" ht="105" customHeight="1" x14ac:dyDescent="0.3">
      <c r="A57" s="18" t="s">
        <v>588</v>
      </c>
      <c r="B57" s="19" t="s">
        <v>141</v>
      </c>
      <c r="C57" s="19" t="s">
        <v>15</v>
      </c>
      <c r="D57" s="19" t="s">
        <v>589</v>
      </c>
      <c r="E57" s="19" t="s">
        <v>130</v>
      </c>
      <c r="F57" s="19" t="s">
        <v>328</v>
      </c>
      <c r="G57" s="19" t="s">
        <v>208</v>
      </c>
      <c r="H57" s="19" t="s">
        <v>590</v>
      </c>
      <c r="I57" s="19" t="s">
        <v>218</v>
      </c>
      <c r="J57" s="19" t="s">
        <v>591</v>
      </c>
      <c r="K57" s="19" t="s">
        <v>592</v>
      </c>
      <c r="L57" s="19" t="s">
        <v>213</v>
      </c>
      <c r="M57" s="25" t="s">
        <v>278</v>
      </c>
      <c r="N57" s="19" t="s">
        <v>593</v>
      </c>
      <c r="O57" s="19" t="s">
        <v>226</v>
      </c>
      <c r="P57" s="19" t="s">
        <v>226</v>
      </c>
      <c r="Q57" s="19"/>
      <c r="R57" s="19" t="s">
        <v>586</v>
      </c>
      <c r="S57" s="19"/>
      <c r="T57" s="19"/>
    </row>
    <row r="58" spans="1:20" ht="105" customHeight="1" x14ac:dyDescent="0.3">
      <c r="A58" s="18" t="s">
        <v>594</v>
      </c>
      <c r="B58" s="19" t="s">
        <v>141</v>
      </c>
      <c r="C58" s="19" t="s">
        <v>15</v>
      </c>
      <c r="D58" s="19" t="s">
        <v>595</v>
      </c>
      <c r="E58" s="19" t="s">
        <v>130</v>
      </c>
      <c r="F58" s="19" t="s">
        <v>207</v>
      </c>
      <c r="G58" s="19" t="s">
        <v>208</v>
      </c>
      <c r="H58" s="19" t="s">
        <v>596</v>
      </c>
      <c r="I58" s="19" t="s">
        <v>597</v>
      </c>
      <c r="J58" s="19" t="s">
        <v>598</v>
      </c>
      <c r="K58" s="19" t="s">
        <v>599</v>
      </c>
      <c r="L58" s="19" t="s">
        <v>213</v>
      </c>
      <c r="M58" s="24" t="s">
        <v>108</v>
      </c>
      <c r="N58" s="19" t="s">
        <v>302</v>
      </c>
      <c r="O58" s="19" t="s">
        <v>226</v>
      </c>
      <c r="P58" s="19" t="s">
        <v>226</v>
      </c>
      <c r="Q58" s="19"/>
      <c r="R58" s="19" t="s">
        <v>586</v>
      </c>
      <c r="S58" s="19" t="s">
        <v>217</v>
      </c>
      <c r="T58" s="19" t="s">
        <v>600</v>
      </c>
    </row>
    <row r="59" spans="1:20" ht="105" customHeight="1" x14ac:dyDescent="0.3">
      <c r="A59" s="18" t="s">
        <v>601</v>
      </c>
      <c r="B59" s="19" t="s">
        <v>141</v>
      </c>
      <c r="C59" s="19" t="s">
        <v>15</v>
      </c>
      <c r="D59" s="19" t="s">
        <v>602</v>
      </c>
      <c r="E59" s="19" t="s">
        <v>130</v>
      </c>
      <c r="F59" s="19" t="s">
        <v>207</v>
      </c>
      <c r="G59" s="19" t="s">
        <v>208</v>
      </c>
      <c r="H59" s="19" t="s">
        <v>603</v>
      </c>
      <c r="I59" s="19" t="s">
        <v>604</v>
      </c>
      <c r="J59" s="19" t="s">
        <v>605</v>
      </c>
      <c r="K59" s="19" t="s">
        <v>606</v>
      </c>
      <c r="L59" s="19" t="s">
        <v>213</v>
      </c>
      <c r="M59" s="25" t="s">
        <v>278</v>
      </c>
      <c r="N59" s="19" t="s">
        <v>607</v>
      </c>
      <c r="O59" s="19" t="s">
        <v>226</v>
      </c>
      <c r="P59" s="19" t="s">
        <v>226</v>
      </c>
      <c r="Q59" s="19"/>
      <c r="R59" s="19" t="s">
        <v>586</v>
      </c>
      <c r="S59" s="19"/>
      <c r="T59" s="19"/>
    </row>
    <row r="60" spans="1:20" ht="105" customHeight="1" x14ac:dyDescent="0.3">
      <c r="A60" s="18" t="s">
        <v>608</v>
      </c>
      <c r="B60" s="19" t="s">
        <v>141</v>
      </c>
      <c r="C60" s="19" t="s">
        <v>15</v>
      </c>
      <c r="D60" s="19" t="s">
        <v>609</v>
      </c>
      <c r="E60" s="19" t="s">
        <v>130</v>
      </c>
      <c r="F60" s="19" t="s">
        <v>207</v>
      </c>
      <c r="G60" s="19" t="s">
        <v>208</v>
      </c>
      <c r="H60" s="19" t="s">
        <v>610</v>
      </c>
      <c r="I60" s="19" t="s">
        <v>611</v>
      </c>
      <c r="J60" s="19" t="s">
        <v>612</v>
      </c>
      <c r="K60" s="19" t="s">
        <v>613</v>
      </c>
      <c r="L60" s="19" t="s">
        <v>213</v>
      </c>
      <c r="M60" s="24" t="s">
        <v>108</v>
      </c>
      <c r="N60" s="19" t="s">
        <v>614</v>
      </c>
      <c r="O60" s="19" t="s">
        <v>226</v>
      </c>
      <c r="P60" s="19" t="s">
        <v>226</v>
      </c>
      <c r="Q60" s="19"/>
      <c r="R60" s="19" t="s">
        <v>569</v>
      </c>
      <c r="S60" s="19"/>
      <c r="T60" s="19"/>
    </row>
    <row r="61" spans="1:20" ht="105" customHeight="1" x14ac:dyDescent="0.3">
      <c r="A61" s="18" t="s">
        <v>615</v>
      </c>
      <c r="B61" s="19" t="s">
        <v>144</v>
      </c>
      <c r="C61" s="19" t="s">
        <v>15</v>
      </c>
      <c r="D61" s="19" t="s">
        <v>616</v>
      </c>
      <c r="E61" s="19" t="s">
        <v>117</v>
      </c>
      <c r="F61" s="19" t="s">
        <v>207</v>
      </c>
      <c r="G61" s="19" t="s">
        <v>208</v>
      </c>
      <c r="H61" s="19" t="s">
        <v>617</v>
      </c>
      <c r="I61" s="19" t="s">
        <v>618</v>
      </c>
      <c r="J61" s="19" t="s">
        <v>619</v>
      </c>
      <c r="K61" s="19" t="s">
        <v>620</v>
      </c>
      <c r="L61" s="19" t="s">
        <v>213</v>
      </c>
      <c r="M61" s="24" t="s">
        <v>108</v>
      </c>
      <c r="N61" s="19" t="s">
        <v>621</v>
      </c>
      <c r="O61" s="19" t="s">
        <v>215</v>
      </c>
      <c r="P61" s="19" t="s">
        <v>226</v>
      </c>
      <c r="Q61" s="19"/>
      <c r="R61" s="19" t="s">
        <v>244</v>
      </c>
      <c r="S61" s="19" t="s">
        <v>217</v>
      </c>
      <c r="T61" s="19" t="s">
        <v>622</v>
      </c>
    </row>
    <row r="62" spans="1:20" ht="105" customHeight="1" x14ac:dyDescent="0.3">
      <c r="A62" s="18" t="s">
        <v>623</v>
      </c>
      <c r="B62" s="19" t="s">
        <v>144</v>
      </c>
      <c r="C62" s="19" t="s">
        <v>15</v>
      </c>
      <c r="D62" s="19" t="s">
        <v>624</v>
      </c>
      <c r="E62" s="19" t="s">
        <v>424</v>
      </c>
      <c r="F62" s="19" t="s">
        <v>468</v>
      </c>
      <c r="G62" s="19" t="s">
        <v>208</v>
      </c>
      <c r="H62" s="19" t="s">
        <v>625</v>
      </c>
      <c r="I62" s="19" t="s">
        <v>218</v>
      </c>
      <c r="J62" s="19" t="s">
        <v>626</v>
      </c>
      <c r="K62" s="19" t="s">
        <v>627</v>
      </c>
      <c r="L62" s="19" t="s">
        <v>213</v>
      </c>
      <c r="M62" s="25" t="s">
        <v>278</v>
      </c>
      <c r="N62" s="19" t="s">
        <v>628</v>
      </c>
      <c r="O62" s="19" t="s">
        <v>226</v>
      </c>
      <c r="P62" s="19" t="s">
        <v>226</v>
      </c>
      <c r="Q62" s="19"/>
      <c r="R62" s="19" t="s">
        <v>244</v>
      </c>
      <c r="S62" s="19"/>
      <c r="T62" s="19"/>
    </row>
    <row r="63" spans="1:20" ht="105" customHeight="1" x14ac:dyDescent="0.3">
      <c r="A63" s="18" t="s">
        <v>629</v>
      </c>
      <c r="B63" s="19" t="s">
        <v>147</v>
      </c>
      <c r="C63" s="19" t="s">
        <v>148</v>
      </c>
      <c r="D63" s="19" t="s">
        <v>630</v>
      </c>
      <c r="E63" s="19" t="s">
        <v>117</v>
      </c>
      <c r="F63" s="19" t="s">
        <v>207</v>
      </c>
      <c r="G63" s="19" t="s">
        <v>631</v>
      </c>
      <c r="H63" s="19" t="s">
        <v>632</v>
      </c>
      <c r="I63" s="19" t="s">
        <v>633</v>
      </c>
      <c r="J63" s="19" t="s">
        <v>634</v>
      </c>
      <c r="K63" s="19" t="s">
        <v>635</v>
      </c>
      <c r="L63" s="19" t="s">
        <v>213</v>
      </c>
      <c r="M63" s="24" t="s">
        <v>108</v>
      </c>
      <c r="N63" s="19" t="s">
        <v>636</v>
      </c>
      <c r="O63" s="19" t="s">
        <v>215</v>
      </c>
      <c r="P63" s="19" t="s">
        <v>226</v>
      </c>
      <c r="Q63" s="19"/>
      <c r="R63" s="19" t="s">
        <v>637</v>
      </c>
      <c r="S63" s="19" t="s">
        <v>217</v>
      </c>
      <c r="T63" s="19" t="s">
        <v>638</v>
      </c>
    </row>
    <row r="64" spans="1:20" ht="105" customHeight="1" x14ac:dyDescent="0.3">
      <c r="A64" s="18" t="s">
        <v>639</v>
      </c>
      <c r="B64" s="19" t="s">
        <v>147</v>
      </c>
      <c r="C64" s="19" t="s">
        <v>148</v>
      </c>
      <c r="D64" s="19" t="s">
        <v>640</v>
      </c>
      <c r="E64" s="20" t="s">
        <v>113</v>
      </c>
      <c r="F64" s="19" t="s">
        <v>207</v>
      </c>
      <c r="G64" s="19" t="s">
        <v>631</v>
      </c>
      <c r="H64" s="19" t="s">
        <v>641</v>
      </c>
      <c r="I64" s="19" t="s">
        <v>642</v>
      </c>
      <c r="J64" s="19" t="s">
        <v>643</v>
      </c>
      <c r="K64" s="19" t="s">
        <v>644</v>
      </c>
      <c r="L64" s="19" t="s">
        <v>213</v>
      </c>
      <c r="M64" s="24" t="s">
        <v>108</v>
      </c>
      <c r="N64" s="19" t="s">
        <v>270</v>
      </c>
      <c r="O64" s="19" t="s">
        <v>215</v>
      </c>
      <c r="P64" s="19" t="s">
        <v>226</v>
      </c>
      <c r="Q64" s="19"/>
      <c r="R64" s="19" t="s">
        <v>554</v>
      </c>
      <c r="S64" s="19" t="s">
        <v>217</v>
      </c>
      <c r="T64" s="19" t="s">
        <v>645</v>
      </c>
    </row>
    <row r="65" spans="1:20" ht="105" customHeight="1" x14ac:dyDescent="0.3">
      <c r="A65" s="18" t="s">
        <v>646</v>
      </c>
      <c r="B65" s="19" t="s">
        <v>147</v>
      </c>
      <c r="C65" s="19" t="s">
        <v>148</v>
      </c>
      <c r="D65" s="19" t="s">
        <v>647</v>
      </c>
      <c r="E65" s="20" t="s">
        <v>113</v>
      </c>
      <c r="F65" s="19" t="s">
        <v>207</v>
      </c>
      <c r="G65" s="19" t="s">
        <v>648</v>
      </c>
      <c r="H65" s="19" t="s">
        <v>649</v>
      </c>
      <c r="I65" s="19" t="s">
        <v>650</v>
      </c>
      <c r="J65" s="19" t="s">
        <v>651</v>
      </c>
      <c r="K65" s="19" t="s">
        <v>652</v>
      </c>
      <c r="L65" s="19" t="s">
        <v>430</v>
      </c>
      <c r="M65" s="24" t="s">
        <v>108</v>
      </c>
      <c r="N65" s="19" t="s">
        <v>653</v>
      </c>
      <c r="O65" s="19" t="s">
        <v>215</v>
      </c>
      <c r="P65" s="19" t="s">
        <v>226</v>
      </c>
      <c r="Q65" s="20" t="s">
        <v>654</v>
      </c>
      <c r="R65" s="19" t="s">
        <v>655</v>
      </c>
      <c r="S65" s="19" t="s">
        <v>656</v>
      </c>
      <c r="T65" s="19" t="s">
        <v>657</v>
      </c>
    </row>
    <row r="66" spans="1:20" ht="105" customHeight="1" x14ac:dyDescent="0.3">
      <c r="A66" s="18" t="s">
        <v>658</v>
      </c>
      <c r="B66" s="19" t="s">
        <v>147</v>
      </c>
      <c r="C66" s="19" t="s">
        <v>148</v>
      </c>
      <c r="D66" s="19" t="s">
        <v>659</v>
      </c>
      <c r="E66" s="20" t="s">
        <v>113</v>
      </c>
      <c r="F66" s="19" t="s">
        <v>207</v>
      </c>
      <c r="G66" s="19" t="s">
        <v>648</v>
      </c>
      <c r="H66" s="19" t="s">
        <v>660</v>
      </c>
      <c r="I66" s="19" t="s">
        <v>661</v>
      </c>
      <c r="J66" s="19" t="s">
        <v>662</v>
      </c>
      <c r="K66" s="19" t="s">
        <v>663</v>
      </c>
      <c r="L66" s="19" t="s">
        <v>213</v>
      </c>
      <c r="M66" s="24" t="s">
        <v>108</v>
      </c>
      <c r="N66" s="19" t="s">
        <v>295</v>
      </c>
      <c r="O66" s="19" t="s">
        <v>215</v>
      </c>
      <c r="P66" s="19" t="s">
        <v>226</v>
      </c>
      <c r="Q66" s="19"/>
      <c r="R66" s="19" t="s">
        <v>637</v>
      </c>
      <c r="S66" s="19" t="s">
        <v>217</v>
      </c>
      <c r="T66" s="19" t="s">
        <v>664</v>
      </c>
    </row>
    <row r="67" spans="1:20" ht="105" customHeight="1" x14ac:dyDescent="0.3">
      <c r="A67" s="18" t="s">
        <v>665</v>
      </c>
      <c r="B67" s="19" t="s">
        <v>147</v>
      </c>
      <c r="C67" s="19" t="s">
        <v>148</v>
      </c>
      <c r="D67" s="19" t="s">
        <v>666</v>
      </c>
      <c r="E67" s="19" t="s">
        <v>130</v>
      </c>
      <c r="F67" s="19" t="s">
        <v>328</v>
      </c>
      <c r="G67" s="19" t="s">
        <v>648</v>
      </c>
      <c r="H67" s="19" t="s">
        <v>667</v>
      </c>
      <c r="I67" s="19" t="s">
        <v>668</v>
      </c>
      <c r="J67" s="19" t="s">
        <v>669</v>
      </c>
      <c r="K67" s="19" t="s">
        <v>670</v>
      </c>
      <c r="L67" s="19" t="s">
        <v>430</v>
      </c>
      <c r="M67" s="25" t="s">
        <v>278</v>
      </c>
      <c r="N67" s="19" t="s">
        <v>671</v>
      </c>
      <c r="O67" s="19" t="s">
        <v>226</v>
      </c>
      <c r="P67" s="19" t="s">
        <v>226</v>
      </c>
      <c r="Q67" s="20" t="s">
        <v>654</v>
      </c>
      <c r="R67" s="19" t="s">
        <v>655</v>
      </c>
      <c r="S67" s="19"/>
      <c r="T67" s="19"/>
    </row>
    <row r="68" spans="1:20" ht="105" customHeight="1" x14ac:dyDescent="0.3">
      <c r="A68" s="18" t="s">
        <v>672</v>
      </c>
      <c r="B68" s="19" t="s">
        <v>147</v>
      </c>
      <c r="C68" s="19" t="s">
        <v>148</v>
      </c>
      <c r="D68" s="19" t="s">
        <v>673</v>
      </c>
      <c r="E68" s="19" t="s">
        <v>117</v>
      </c>
      <c r="F68" s="19" t="s">
        <v>328</v>
      </c>
      <c r="G68" s="19" t="s">
        <v>208</v>
      </c>
      <c r="H68" s="19" t="s">
        <v>674</v>
      </c>
      <c r="I68" s="19" t="s">
        <v>675</v>
      </c>
      <c r="J68" s="19" t="s">
        <v>676</v>
      </c>
      <c r="K68" s="19" t="s">
        <v>677</v>
      </c>
      <c r="L68" s="19" t="s">
        <v>430</v>
      </c>
      <c r="M68" s="24" t="s">
        <v>108</v>
      </c>
      <c r="N68" s="19" t="s">
        <v>678</v>
      </c>
      <c r="O68" s="19" t="s">
        <v>215</v>
      </c>
      <c r="P68" s="19" t="s">
        <v>226</v>
      </c>
      <c r="Q68" s="20" t="s">
        <v>679</v>
      </c>
      <c r="R68" s="19" t="s">
        <v>655</v>
      </c>
      <c r="S68" s="19" t="s">
        <v>680</v>
      </c>
      <c r="T68" s="19" t="s">
        <v>681</v>
      </c>
    </row>
    <row r="69" spans="1:20" ht="105" customHeight="1" x14ac:dyDescent="0.3">
      <c r="A69" s="18" t="s">
        <v>682</v>
      </c>
      <c r="B69" s="19" t="s">
        <v>147</v>
      </c>
      <c r="C69" s="19" t="s">
        <v>148</v>
      </c>
      <c r="D69" s="19" t="s">
        <v>683</v>
      </c>
      <c r="E69" s="19" t="s">
        <v>130</v>
      </c>
      <c r="F69" s="19" t="s">
        <v>684</v>
      </c>
      <c r="G69" s="19" t="s">
        <v>648</v>
      </c>
      <c r="H69" s="19" t="s">
        <v>685</v>
      </c>
      <c r="I69" s="19" t="s">
        <v>686</v>
      </c>
      <c r="J69" s="19" t="s">
        <v>687</v>
      </c>
      <c r="K69" s="19" t="s">
        <v>688</v>
      </c>
      <c r="L69" s="19" t="s">
        <v>430</v>
      </c>
      <c r="M69" s="25" t="s">
        <v>278</v>
      </c>
      <c r="N69" s="19" t="s">
        <v>473</v>
      </c>
      <c r="O69" s="19" t="s">
        <v>226</v>
      </c>
      <c r="P69" s="19" t="s">
        <v>226</v>
      </c>
      <c r="Q69" s="20" t="s">
        <v>689</v>
      </c>
      <c r="R69" s="19" t="s">
        <v>655</v>
      </c>
      <c r="S69" s="19"/>
      <c r="T69" s="19"/>
    </row>
    <row r="70" spans="1:20" ht="105" customHeight="1" x14ac:dyDescent="0.3">
      <c r="A70" s="18" t="s">
        <v>690</v>
      </c>
      <c r="B70" s="19" t="s">
        <v>147</v>
      </c>
      <c r="C70" s="19" t="s">
        <v>148</v>
      </c>
      <c r="D70" s="19" t="s">
        <v>691</v>
      </c>
      <c r="E70" s="19" t="s">
        <v>117</v>
      </c>
      <c r="F70" s="19" t="s">
        <v>425</v>
      </c>
      <c r="G70" s="19" t="s">
        <v>208</v>
      </c>
      <c r="H70" s="19" t="s">
        <v>692</v>
      </c>
      <c r="I70" s="19" t="s">
        <v>693</v>
      </c>
      <c r="J70" s="19" t="s">
        <v>694</v>
      </c>
      <c r="K70" s="19" t="s">
        <v>695</v>
      </c>
      <c r="L70" s="19" t="s">
        <v>430</v>
      </c>
      <c r="M70" s="25" t="s">
        <v>278</v>
      </c>
      <c r="N70" s="19" t="s">
        <v>696</v>
      </c>
      <c r="O70" s="19" t="s">
        <v>226</v>
      </c>
      <c r="P70" s="19" t="s">
        <v>226</v>
      </c>
      <c r="Q70" s="20" t="s">
        <v>654</v>
      </c>
      <c r="R70" s="19" t="s">
        <v>637</v>
      </c>
      <c r="S70" s="19"/>
      <c r="T70" s="19"/>
    </row>
    <row r="71" spans="1:20" ht="105" customHeight="1" x14ac:dyDescent="0.3">
      <c r="A71" s="18" t="s">
        <v>697</v>
      </c>
      <c r="B71" s="19" t="s">
        <v>151</v>
      </c>
      <c r="C71" s="19" t="s">
        <v>148</v>
      </c>
      <c r="D71" s="19" t="s">
        <v>698</v>
      </c>
      <c r="E71" s="19" t="s">
        <v>117</v>
      </c>
      <c r="F71" s="19" t="s">
        <v>207</v>
      </c>
      <c r="G71" s="19" t="s">
        <v>648</v>
      </c>
      <c r="H71" s="19" t="s">
        <v>699</v>
      </c>
      <c r="I71" s="19" t="s">
        <v>700</v>
      </c>
      <c r="J71" s="19" t="s">
        <v>701</v>
      </c>
      <c r="K71" s="19" t="s">
        <v>702</v>
      </c>
      <c r="L71" s="19" t="s">
        <v>213</v>
      </c>
      <c r="M71" s="24" t="s">
        <v>108</v>
      </c>
      <c r="N71" s="19" t="s">
        <v>302</v>
      </c>
      <c r="O71" s="19" t="s">
        <v>226</v>
      </c>
      <c r="P71" s="19" t="s">
        <v>226</v>
      </c>
      <c r="Q71" s="19"/>
      <c r="R71" s="19" t="s">
        <v>637</v>
      </c>
      <c r="S71" s="19" t="s">
        <v>217</v>
      </c>
      <c r="T71" s="19" t="s">
        <v>703</v>
      </c>
    </row>
    <row r="72" spans="1:20" ht="105" customHeight="1" x14ac:dyDescent="0.3">
      <c r="A72" s="18" t="s">
        <v>704</v>
      </c>
      <c r="B72" s="19" t="s">
        <v>151</v>
      </c>
      <c r="C72" s="19" t="s">
        <v>148</v>
      </c>
      <c r="D72" s="19" t="s">
        <v>705</v>
      </c>
      <c r="E72" s="19" t="s">
        <v>117</v>
      </c>
      <c r="F72" s="19" t="s">
        <v>207</v>
      </c>
      <c r="G72" s="19" t="s">
        <v>648</v>
      </c>
      <c r="H72" s="19" t="s">
        <v>706</v>
      </c>
      <c r="I72" s="19" t="s">
        <v>707</v>
      </c>
      <c r="J72" s="19" t="s">
        <v>708</v>
      </c>
      <c r="K72" s="19" t="s">
        <v>709</v>
      </c>
      <c r="L72" s="19" t="s">
        <v>213</v>
      </c>
      <c r="M72" s="25" t="s">
        <v>278</v>
      </c>
      <c r="N72" s="19" t="s">
        <v>710</v>
      </c>
      <c r="O72" s="19" t="s">
        <v>226</v>
      </c>
      <c r="P72" s="19" t="s">
        <v>226</v>
      </c>
      <c r="Q72" s="19"/>
      <c r="R72" s="19" t="s">
        <v>637</v>
      </c>
      <c r="S72" s="19"/>
      <c r="T72" s="19"/>
    </row>
    <row r="73" spans="1:20" ht="105" customHeight="1" x14ac:dyDescent="0.3">
      <c r="A73" s="18" t="s">
        <v>711</v>
      </c>
      <c r="B73" s="19" t="s">
        <v>151</v>
      </c>
      <c r="C73" s="19" t="s">
        <v>148</v>
      </c>
      <c r="D73" s="19" t="s">
        <v>712</v>
      </c>
      <c r="E73" s="19" t="s">
        <v>117</v>
      </c>
      <c r="F73" s="19" t="s">
        <v>207</v>
      </c>
      <c r="G73" s="19" t="s">
        <v>631</v>
      </c>
      <c r="H73" s="19" t="s">
        <v>713</v>
      </c>
      <c r="I73" s="19" t="s">
        <v>714</v>
      </c>
      <c r="J73" s="19" t="s">
        <v>715</v>
      </c>
      <c r="K73" s="19" t="s">
        <v>716</v>
      </c>
      <c r="L73" s="19" t="s">
        <v>213</v>
      </c>
      <c r="M73" s="24" t="s">
        <v>108</v>
      </c>
      <c r="N73" s="19" t="s">
        <v>717</v>
      </c>
      <c r="O73" s="19" t="s">
        <v>226</v>
      </c>
      <c r="P73" s="19" t="s">
        <v>226</v>
      </c>
      <c r="Q73" s="19"/>
      <c r="R73" s="19" t="s">
        <v>569</v>
      </c>
      <c r="S73" s="19"/>
      <c r="T73" s="19"/>
    </row>
    <row r="74" spans="1:20" ht="105" customHeight="1" x14ac:dyDescent="0.3">
      <c r="A74" s="18" t="s">
        <v>718</v>
      </c>
      <c r="B74" s="19" t="s">
        <v>151</v>
      </c>
      <c r="C74" s="19" t="s">
        <v>148</v>
      </c>
      <c r="D74" s="19" t="s">
        <v>719</v>
      </c>
      <c r="E74" s="20" t="s">
        <v>113</v>
      </c>
      <c r="F74" s="19" t="s">
        <v>207</v>
      </c>
      <c r="G74" s="19" t="s">
        <v>648</v>
      </c>
      <c r="H74" s="19" t="s">
        <v>720</v>
      </c>
      <c r="I74" s="19" t="s">
        <v>721</v>
      </c>
      <c r="J74" s="19" t="s">
        <v>722</v>
      </c>
      <c r="K74" s="19" t="s">
        <v>723</v>
      </c>
      <c r="L74" s="19" t="s">
        <v>213</v>
      </c>
      <c r="M74" s="24" t="s">
        <v>108</v>
      </c>
      <c r="N74" s="19" t="s">
        <v>724</v>
      </c>
      <c r="O74" s="19" t="s">
        <v>215</v>
      </c>
      <c r="P74" s="19" t="s">
        <v>226</v>
      </c>
      <c r="Q74" s="19"/>
      <c r="R74" s="19" t="s">
        <v>637</v>
      </c>
      <c r="S74" s="19" t="s">
        <v>217</v>
      </c>
      <c r="T74" s="19" t="s">
        <v>725</v>
      </c>
    </row>
    <row r="75" spans="1:20" ht="105" customHeight="1" x14ac:dyDescent="0.3">
      <c r="A75" s="18" t="s">
        <v>726</v>
      </c>
      <c r="B75" s="19" t="s">
        <v>151</v>
      </c>
      <c r="C75" s="19" t="s">
        <v>148</v>
      </c>
      <c r="D75" s="19" t="s">
        <v>727</v>
      </c>
      <c r="E75" s="19" t="s">
        <v>117</v>
      </c>
      <c r="F75" s="19" t="s">
        <v>328</v>
      </c>
      <c r="G75" s="19" t="s">
        <v>648</v>
      </c>
      <c r="H75" s="19" t="s">
        <v>728</v>
      </c>
      <c r="I75" s="19" t="s">
        <v>729</v>
      </c>
      <c r="J75" s="19" t="s">
        <v>730</v>
      </c>
      <c r="K75" s="19" t="s">
        <v>731</v>
      </c>
      <c r="L75" s="19" t="s">
        <v>213</v>
      </c>
      <c r="M75" s="24" t="s">
        <v>108</v>
      </c>
      <c r="N75" s="19" t="s">
        <v>302</v>
      </c>
      <c r="O75" s="19" t="s">
        <v>215</v>
      </c>
      <c r="P75" s="19" t="s">
        <v>226</v>
      </c>
      <c r="Q75" s="19"/>
      <c r="R75" s="19" t="s">
        <v>732</v>
      </c>
      <c r="S75" s="19" t="s">
        <v>217</v>
      </c>
      <c r="T75" s="19" t="s">
        <v>733</v>
      </c>
    </row>
    <row r="76" spans="1:20" ht="105" customHeight="1" x14ac:dyDescent="0.3">
      <c r="A76" s="18" t="s">
        <v>734</v>
      </c>
      <c r="B76" s="19" t="s">
        <v>151</v>
      </c>
      <c r="C76" s="19" t="s">
        <v>148</v>
      </c>
      <c r="D76" s="19" t="s">
        <v>735</v>
      </c>
      <c r="E76" s="19" t="s">
        <v>117</v>
      </c>
      <c r="F76" s="19" t="s">
        <v>425</v>
      </c>
      <c r="G76" s="19" t="s">
        <v>736</v>
      </c>
      <c r="H76" s="19" t="s">
        <v>737</v>
      </c>
      <c r="I76" s="19" t="s">
        <v>218</v>
      </c>
      <c r="J76" s="19" t="s">
        <v>738</v>
      </c>
      <c r="K76" s="19" t="s">
        <v>397</v>
      </c>
      <c r="L76" s="19" t="s">
        <v>213</v>
      </c>
      <c r="M76" s="25" t="s">
        <v>278</v>
      </c>
      <c r="N76" s="19" t="s">
        <v>739</v>
      </c>
      <c r="O76" s="19" t="s">
        <v>226</v>
      </c>
      <c r="P76" s="19" t="s">
        <v>226</v>
      </c>
      <c r="Q76" s="19"/>
      <c r="R76" s="19" t="s">
        <v>740</v>
      </c>
      <c r="S76" s="19"/>
      <c r="T76" s="19"/>
    </row>
    <row r="77" spans="1:20" ht="105" customHeight="1" x14ac:dyDescent="0.3">
      <c r="A77" s="18" t="s">
        <v>741</v>
      </c>
      <c r="B77" s="19" t="s">
        <v>151</v>
      </c>
      <c r="C77" s="19" t="s">
        <v>148</v>
      </c>
      <c r="D77" s="19" t="s">
        <v>742</v>
      </c>
      <c r="E77" s="19" t="s">
        <v>130</v>
      </c>
      <c r="F77" s="19" t="s">
        <v>425</v>
      </c>
      <c r="G77" s="19" t="s">
        <v>631</v>
      </c>
      <c r="H77" s="19" t="s">
        <v>743</v>
      </c>
      <c r="I77" s="19" t="s">
        <v>218</v>
      </c>
      <c r="J77" s="19" t="s">
        <v>744</v>
      </c>
      <c r="K77" s="19" t="s">
        <v>745</v>
      </c>
      <c r="L77" s="19" t="s">
        <v>213</v>
      </c>
      <c r="M77" s="24" t="s">
        <v>108</v>
      </c>
      <c r="N77" s="19" t="s">
        <v>302</v>
      </c>
      <c r="O77" s="19" t="s">
        <v>226</v>
      </c>
      <c r="P77" s="19" t="s">
        <v>226</v>
      </c>
      <c r="Q77" s="19"/>
      <c r="R77" s="19" t="s">
        <v>637</v>
      </c>
      <c r="S77" s="19"/>
      <c r="T77" s="19"/>
    </row>
    <row r="78" spans="1:20" ht="105" customHeight="1" x14ac:dyDescent="0.3">
      <c r="A78" s="18" t="s">
        <v>746</v>
      </c>
      <c r="B78" s="19" t="s">
        <v>151</v>
      </c>
      <c r="C78" s="19" t="s">
        <v>148</v>
      </c>
      <c r="D78" s="19" t="s">
        <v>747</v>
      </c>
      <c r="E78" s="20" t="s">
        <v>113</v>
      </c>
      <c r="F78" s="19" t="s">
        <v>207</v>
      </c>
      <c r="G78" s="19" t="s">
        <v>748</v>
      </c>
      <c r="H78" s="19" t="s">
        <v>749</v>
      </c>
      <c r="I78" s="19" t="s">
        <v>750</v>
      </c>
      <c r="J78" s="19" t="s">
        <v>751</v>
      </c>
      <c r="K78" s="19" t="s">
        <v>752</v>
      </c>
      <c r="L78" s="19" t="s">
        <v>430</v>
      </c>
      <c r="M78" s="24" t="s">
        <v>108</v>
      </c>
      <c r="N78" s="19" t="s">
        <v>270</v>
      </c>
      <c r="O78" s="19" t="s">
        <v>215</v>
      </c>
      <c r="P78" s="19" t="s">
        <v>226</v>
      </c>
      <c r="Q78" s="20" t="s">
        <v>753</v>
      </c>
      <c r="R78" s="19" t="s">
        <v>754</v>
      </c>
      <c r="S78" s="19" t="s">
        <v>755</v>
      </c>
      <c r="T78" s="19" t="s">
        <v>756</v>
      </c>
    </row>
    <row r="79" spans="1:20" ht="105" customHeight="1" x14ac:dyDescent="0.3">
      <c r="A79" s="18" t="s">
        <v>757</v>
      </c>
      <c r="B79" s="19" t="s">
        <v>154</v>
      </c>
      <c r="C79" s="19" t="s">
        <v>17</v>
      </c>
      <c r="D79" s="19" t="s">
        <v>758</v>
      </c>
      <c r="E79" s="20" t="s">
        <v>113</v>
      </c>
      <c r="F79" s="19" t="s">
        <v>207</v>
      </c>
      <c r="G79" s="19" t="s">
        <v>759</v>
      </c>
      <c r="H79" s="19" t="s">
        <v>760</v>
      </c>
      <c r="I79" s="19" t="s">
        <v>550</v>
      </c>
      <c r="J79" s="19" t="s">
        <v>761</v>
      </c>
      <c r="K79" s="19" t="s">
        <v>762</v>
      </c>
      <c r="L79" s="19" t="s">
        <v>213</v>
      </c>
      <c r="M79" s="24" t="s">
        <v>108</v>
      </c>
      <c r="N79" s="19" t="s">
        <v>763</v>
      </c>
      <c r="O79" s="19" t="s">
        <v>215</v>
      </c>
      <c r="P79" s="19" t="s">
        <v>215</v>
      </c>
      <c r="Q79" s="19"/>
      <c r="R79" s="19" t="s">
        <v>764</v>
      </c>
      <c r="S79" s="19" t="s">
        <v>217</v>
      </c>
      <c r="T79" s="19" t="s">
        <v>765</v>
      </c>
    </row>
    <row r="80" spans="1:20" ht="105" customHeight="1" x14ac:dyDescent="0.3">
      <c r="A80" s="18" t="s">
        <v>766</v>
      </c>
      <c r="B80" s="19" t="s">
        <v>154</v>
      </c>
      <c r="C80" s="19" t="s">
        <v>17</v>
      </c>
      <c r="D80" s="19" t="s">
        <v>767</v>
      </c>
      <c r="E80" s="19" t="s">
        <v>117</v>
      </c>
      <c r="F80" s="19" t="s">
        <v>207</v>
      </c>
      <c r="G80" s="19" t="s">
        <v>759</v>
      </c>
      <c r="H80" s="19" t="s">
        <v>768</v>
      </c>
      <c r="I80" s="19" t="s">
        <v>218</v>
      </c>
      <c r="J80" s="19" t="s">
        <v>769</v>
      </c>
      <c r="K80" s="19" t="s">
        <v>770</v>
      </c>
      <c r="L80" s="19" t="s">
        <v>213</v>
      </c>
      <c r="M80" s="24" t="s">
        <v>108</v>
      </c>
      <c r="N80" s="19" t="s">
        <v>544</v>
      </c>
      <c r="O80" s="19" t="s">
        <v>215</v>
      </c>
      <c r="P80" s="19" t="s">
        <v>226</v>
      </c>
      <c r="Q80" s="19"/>
      <c r="R80" s="19" t="s">
        <v>740</v>
      </c>
      <c r="S80" s="19" t="s">
        <v>217</v>
      </c>
      <c r="T80" s="19" t="s">
        <v>771</v>
      </c>
    </row>
    <row r="81" spans="1:20" ht="105" customHeight="1" x14ac:dyDescent="0.3">
      <c r="A81" s="18" t="s">
        <v>772</v>
      </c>
      <c r="B81" s="19" t="s">
        <v>154</v>
      </c>
      <c r="C81" s="19" t="s">
        <v>17</v>
      </c>
      <c r="D81" s="19" t="s">
        <v>773</v>
      </c>
      <c r="E81" s="19" t="s">
        <v>117</v>
      </c>
      <c r="F81" s="19" t="s">
        <v>207</v>
      </c>
      <c r="G81" s="19" t="s">
        <v>759</v>
      </c>
      <c r="H81" s="19" t="s">
        <v>774</v>
      </c>
      <c r="I81" s="19" t="s">
        <v>218</v>
      </c>
      <c r="J81" s="19" t="s">
        <v>775</v>
      </c>
      <c r="K81" s="19" t="s">
        <v>776</v>
      </c>
      <c r="L81" s="19" t="s">
        <v>213</v>
      </c>
      <c r="M81" s="24" t="s">
        <v>108</v>
      </c>
      <c r="N81" s="19" t="s">
        <v>270</v>
      </c>
      <c r="O81" s="19" t="s">
        <v>215</v>
      </c>
      <c r="P81" s="19" t="s">
        <v>226</v>
      </c>
      <c r="Q81" s="19"/>
      <c r="R81" s="19" t="s">
        <v>740</v>
      </c>
      <c r="S81" s="19" t="s">
        <v>217</v>
      </c>
      <c r="T81" s="19" t="s">
        <v>777</v>
      </c>
    </row>
    <row r="82" spans="1:20" ht="105" customHeight="1" x14ac:dyDescent="0.3">
      <c r="A82" s="18" t="s">
        <v>778</v>
      </c>
      <c r="B82" s="19" t="s">
        <v>157</v>
      </c>
      <c r="C82" s="19" t="s">
        <v>17</v>
      </c>
      <c r="D82" s="19" t="s">
        <v>779</v>
      </c>
      <c r="E82" s="20" t="s">
        <v>113</v>
      </c>
      <c r="F82" s="19" t="s">
        <v>207</v>
      </c>
      <c r="G82" s="19" t="s">
        <v>759</v>
      </c>
      <c r="H82" s="19" t="s">
        <v>780</v>
      </c>
      <c r="I82" s="19" t="s">
        <v>781</v>
      </c>
      <c r="J82" s="19" t="s">
        <v>782</v>
      </c>
      <c r="K82" s="19" t="s">
        <v>783</v>
      </c>
      <c r="L82" s="19" t="s">
        <v>213</v>
      </c>
      <c r="M82" s="24" t="s">
        <v>108</v>
      </c>
      <c r="N82" s="19" t="s">
        <v>784</v>
      </c>
      <c r="O82" s="19" t="s">
        <v>215</v>
      </c>
      <c r="P82" s="19" t="s">
        <v>226</v>
      </c>
      <c r="Q82" s="19"/>
      <c r="R82" s="19" t="s">
        <v>740</v>
      </c>
      <c r="S82" s="19" t="s">
        <v>217</v>
      </c>
      <c r="T82" s="19" t="s">
        <v>785</v>
      </c>
    </row>
    <row r="83" spans="1:20" ht="105" customHeight="1" x14ac:dyDescent="0.3">
      <c r="A83" s="18" t="s">
        <v>786</v>
      </c>
      <c r="B83" s="19" t="s">
        <v>157</v>
      </c>
      <c r="C83" s="19" t="s">
        <v>17</v>
      </c>
      <c r="D83" s="19" t="s">
        <v>787</v>
      </c>
      <c r="E83" s="20" t="s">
        <v>113</v>
      </c>
      <c r="F83" s="19" t="s">
        <v>207</v>
      </c>
      <c r="G83" s="19" t="s">
        <v>788</v>
      </c>
      <c r="H83" s="19" t="s">
        <v>789</v>
      </c>
      <c r="I83" s="19" t="s">
        <v>218</v>
      </c>
      <c r="J83" s="19" t="s">
        <v>790</v>
      </c>
      <c r="K83" s="19" t="s">
        <v>791</v>
      </c>
      <c r="L83" s="19" t="s">
        <v>213</v>
      </c>
      <c r="M83" s="24" t="s">
        <v>108</v>
      </c>
      <c r="N83" s="19" t="s">
        <v>270</v>
      </c>
      <c r="O83" s="19" t="s">
        <v>215</v>
      </c>
      <c r="P83" s="19" t="s">
        <v>226</v>
      </c>
      <c r="Q83" s="19"/>
      <c r="R83" s="19" t="s">
        <v>740</v>
      </c>
      <c r="S83" s="19" t="s">
        <v>217</v>
      </c>
      <c r="T83" s="19" t="s">
        <v>792</v>
      </c>
    </row>
    <row r="84" spans="1:20" ht="105" customHeight="1" x14ac:dyDescent="0.3">
      <c r="A84" s="18" t="s">
        <v>793</v>
      </c>
      <c r="B84" s="19" t="s">
        <v>157</v>
      </c>
      <c r="C84" s="19" t="s">
        <v>17</v>
      </c>
      <c r="D84" s="19" t="s">
        <v>794</v>
      </c>
      <c r="E84" s="19" t="s">
        <v>130</v>
      </c>
      <c r="F84" s="19" t="s">
        <v>328</v>
      </c>
      <c r="G84" s="19" t="s">
        <v>795</v>
      </c>
      <c r="H84" s="19" t="s">
        <v>796</v>
      </c>
      <c r="I84" s="19" t="s">
        <v>218</v>
      </c>
      <c r="J84" s="19" t="s">
        <v>797</v>
      </c>
      <c r="K84" s="19" t="s">
        <v>798</v>
      </c>
      <c r="L84" s="19" t="s">
        <v>213</v>
      </c>
      <c r="M84" s="24" t="s">
        <v>108</v>
      </c>
      <c r="N84" s="19" t="s">
        <v>302</v>
      </c>
      <c r="O84" s="19" t="s">
        <v>226</v>
      </c>
      <c r="P84" s="19" t="s">
        <v>226</v>
      </c>
      <c r="Q84" s="19"/>
      <c r="R84" s="19" t="s">
        <v>740</v>
      </c>
      <c r="S84" s="19" t="s">
        <v>217</v>
      </c>
      <c r="T84" s="19" t="s">
        <v>799</v>
      </c>
    </row>
    <row r="85" spans="1:20" ht="105" customHeight="1" x14ac:dyDescent="0.3">
      <c r="A85" s="18" t="s">
        <v>800</v>
      </c>
      <c r="B85" s="19" t="s">
        <v>157</v>
      </c>
      <c r="C85" s="19" t="s">
        <v>17</v>
      </c>
      <c r="D85" s="19" t="s">
        <v>801</v>
      </c>
      <c r="E85" s="19" t="s">
        <v>117</v>
      </c>
      <c r="F85" s="19" t="s">
        <v>207</v>
      </c>
      <c r="G85" s="19" t="s">
        <v>802</v>
      </c>
      <c r="H85" s="19" t="s">
        <v>803</v>
      </c>
      <c r="I85" s="19" t="s">
        <v>218</v>
      </c>
      <c r="J85" s="19" t="s">
        <v>804</v>
      </c>
      <c r="K85" s="19" t="s">
        <v>805</v>
      </c>
      <c r="L85" s="19" t="s">
        <v>213</v>
      </c>
      <c r="M85" s="24" t="s">
        <v>108</v>
      </c>
      <c r="N85" s="19" t="s">
        <v>544</v>
      </c>
      <c r="O85" s="19" t="s">
        <v>215</v>
      </c>
      <c r="P85" s="19" t="s">
        <v>226</v>
      </c>
      <c r="Q85" s="19"/>
      <c r="R85" s="19" t="s">
        <v>740</v>
      </c>
      <c r="S85" s="19" t="s">
        <v>217</v>
      </c>
      <c r="T85" s="19" t="s">
        <v>806</v>
      </c>
    </row>
    <row r="86" spans="1:20" ht="105" customHeight="1" x14ac:dyDescent="0.3">
      <c r="A86" s="18" t="s">
        <v>807</v>
      </c>
      <c r="B86" s="19" t="s">
        <v>157</v>
      </c>
      <c r="C86" s="19" t="s">
        <v>17</v>
      </c>
      <c r="D86" s="19" t="s">
        <v>808</v>
      </c>
      <c r="E86" s="19" t="s">
        <v>130</v>
      </c>
      <c r="F86" s="19" t="s">
        <v>207</v>
      </c>
      <c r="G86" s="19" t="s">
        <v>809</v>
      </c>
      <c r="H86" s="19" t="s">
        <v>810</v>
      </c>
      <c r="I86" s="19" t="s">
        <v>218</v>
      </c>
      <c r="J86" s="19" t="s">
        <v>811</v>
      </c>
      <c r="K86" s="19" t="s">
        <v>812</v>
      </c>
      <c r="L86" s="19" t="s">
        <v>213</v>
      </c>
      <c r="M86" s="24" t="s">
        <v>108</v>
      </c>
      <c r="N86" s="19" t="s">
        <v>302</v>
      </c>
      <c r="O86" s="19" t="s">
        <v>226</v>
      </c>
      <c r="P86" s="19" t="s">
        <v>226</v>
      </c>
      <c r="Q86" s="19"/>
      <c r="R86" s="19" t="s">
        <v>740</v>
      </c>
      <c r="S86" s="19" t="s">
        <v>217</v>
      </c>
      <c r="T86" s="19" t="s">
        <v>813</v>
      </c>
    </row>
    <row r="87" spans="1:20" ht="105" customHeight="1" x14ac:dyDescent="0.3">
      <c r="A87" s="18" t="s">
        <v>814</v>
      </c>
      <c r="B87" s="19" t="s">
        <v>157</v>
      </c>
      <c r="C87" s="19" t="s">
        <v>17</v>
      </c>
      <c r="D87" s="19" t="s">
        <v>815</v>
      </c>
      <c r="E87" s="19" t="s">
        <v>130</v>
      </c>
      <c r="F87" s="19" t="s">
        <v>207</v>
      </c>
      <c r="G87" s="19" t="s">
        <v>759</v>
      </c>
      <c r="H87" s="19" t="s">
        <v>816</v>
      </c>
      <c r="I87" s="19" t="s">
        <v>817</v>
      </c>
      <c r="J87" s="19" t="s">
        <v>818</v>
      </c>
      <c r="K87" s="19" t="s">
        <v>819</v>
      </c>
      <c r="L87" s="19" t="s">
        <v>430</v>
      </c>
      <c r="M87" s="24" t="s">
        <v>108</v>
      </c>
      <c r="N87" s="19" t="s">
        <v>820</v>
      </c>
      <c r="O87" s="19" t="s">
        <v>215</v>
      </c>
      <c r="P87" s="19" t="s">
        <v>226</v>
      </c>
      <c r="Q87" s="19" t="s">
        <v>821</v>
      </c>
      <c r="R87" s="19" t="s">
        <v>740</v>
      </c>
      <c r="S87" s="19" t="s">
        <v>822</v>
      </c>
      <c r="T87" s="19" t="s">
        <v>823</v>
      </c>
    </row>
    <row r="88" spans="1:20" ht="105" customHeight="1" x14ac:dyDescent="0.3">
      <c r="A88" s="18" t="s">
        <v>824</v>
      </c>
      <c r="B88" s="19" t="s">
        <v>160</v>
      </c>
      <c r="C88" s="19" t="s">
        <v>17</v>
      </c>
      <c r="D88" s="19" t="s">
        <v>825</v>
      </c>
      <c r="E88" s="19" t="s">
        <v>117</v>
      </c>
      <c r="F88" s="19" t="s">
        <v>207</v>
      </c>
      <c r="G88" s="19" t="s">
        <v>826</v>
      </c>
      <c r="H88" s="19" t="s">
        <v>827</v>
      </c>
      <c r="I88" s="19" t="s">
        <v>218</v>
      </c>
      <c r="J88" s="19" t="s">
        <v>828</v>
      </c>
      <c r="K88" s="19" t="s">
        <v>829</v>
      </c>
      <c r="L88" s="19" t="s">
        <v>213</v>
      </c>
      <c r="M88" s="24" t="s">
        <v>108</v>
      </c>
      <c r="N88" s="19" t="s">
        <v>544</v>
      </c>
      <c r="O88" s="19" t="s">
        <v>215</v>
      </c>
      <c r="P88" s="19" t="s">
        <v>226</v>
      </c>
      <c r="Q88" s="19"/>
      <c r="R88" s="19" t="s">
        <v>830</v>
      </c>
      <c r="S88" s="19" t="s">
        <v>217</v>
      </c>
      <c r="T88" s="19" t="s">
        <v>831</v>
      </c>
    </row>
    <row r="89" spans="1:20" ht="105" customHeight="1" x14ac:dyDescent="0.3">
      <c r="A89" s="18" t="s">
        <v>832</v>
      </c>
      <c r="B89" s="19" t="s">
        <v>160</v>
      </c>
      <c r="C89" s="19" t="s">
        <v>17</v>
      </c>
      <c r="D89" s="19" t="s">
        <v>833</v>
      </c>
      <c r="E89" s="19" t="s">
        <v>130</v>
      </c>
      <c r="F89" s="19" t="s">
        <v>207</v>
      </c>
      <c r="G89" s="19" t="s">
        <v>826</v>
      </c>
      <c r="H89" s="19" t="s">
        <v>834</v>
      </c>
      <c r="I89" s="19" t="s">
        <v>218</v>
      </c>
      <c r="J89" s="19" t="s">
        <v>835</v>
      </c>
      <c r="K89" s="19" t="s">
        <v>836</v>
      </c>
      <c r="L89" s="19" t="s">
        <v>213</v>
      </c>
      <c r="M89" s="24" t="s">
        <v>108</v>
      </c>
      <c r="N89" s="19" t="s">
        <v>302</v>
      </c>
      <c r="O89" s="19" t="s">
        <v>226</v>
      </c>
      <c r="P89" s="19" t="s">
        <v>226</v>
      </c>
      <c r="Q89" s="19"/>
      <c r="R89" s="19" t="s">
        <v>517</v>
      </c>
      <c r="S89" s="19"/>
      <c r="T89" s="19"/>
    </row>
    <row r="90" spans="1:20" ht="105" customHeight="1" x14ac:dyDescent="0.3">
      <c r="A90" s="18" t="s">
        <v>837</v>
      </c>
      <c r="B90" s="19" t="s">
        <v>160</v>
      </c>
      <c r="C90" s="19" t="s">
        <v>17</v>
      </c>
      <c r="D90" s="19" t="s">
        <v>838</v>
      </c>
      <c r="E90" s="19" t="s">
        <v>117</v>
      </c>
      <c r="F90" s="19" t="s">
        <v>207</v>
      </c>
      <c r="G90" s="19" t="s">
        <v>839</v>
      </c>
      <c r="H90" s="19" t="s">
        <v>840</v>
      </c>
      <c r="I90" s="19" t="s">
        <v>841</v>
      </c>
      <c r="J90" s="19" t="s">
        <v>842</v>
      </c>
      <c r="K90" s="19" t="s">
        <v>397</v>
      </c>
      <c r="L90" s="19" t="s">
        <v>213</v>
      </c>
      <c r="M90" s="24" t="s">
        <v>108</v>
      </c>
      <c r="N90" s="19" t="s">
        <v>843</v>
      </c>
      <c r="O90" s="19" t="s">
        <v>215</v>
      </c>
      <c r="P90" s="19" t="s">
        <v>226</v>
      </c>
      <c r="Q90" s="19"/>
      <c r="R90" s="19" t="s">
        <v>830</v>
      </c>
      <c r="S90" s="19" t="s">
        <v>755</v>
      </c>
      <c r="T90" s="19" t="s">
        <v>844</v>
      </c>
    </row>
    <row r="91" spans="1:20" ht="105" customHeight="1" x14ac:dyDescent="0.3">
      <c r="A91" s="18" t="s">
        <v>845</v>
      </c>
      <c r="B91" s="19" t="s">
        <v>163</v>
      </c>
      <c r="C91" s="19" t="s">
        <v>17</v>
      </c>
      <c r="D91" s="19" t="s">
        <v>846</v>
      </c>
      <c r="E91" s="19" t="s">
        <v>117</v>
      </c>
      <c r="F91" s="19" t="s">
        <v>425</v>
      </c>
      <c r="G91" s="19" t="s">
        <v>795</v>
      </c>
      <c r="H91" s="19" t="s">
        <v>847</v>
      </c>
      <c r="I91" s="19" t="s">
        <v>218</v>
      </c>
      <c r="J91" s="19" t="s">
        <v>848</v>
      </c>
      <c r="K91" s="19" t="s">
        <v>849</v>
      </c>
      <c r="L91" s="19" t="s">
        <v>213</v>
      </c>
      <c r="M91" s="25" t="s">
        <v>278</v>
      </c>
      <c r="N91" s="19" t="s">
        <v>850</v>
      </c>
      <c r="O91" s="19" t="s">
        <v>226</v>
      </c>
      <c r="P91" s="19" t="s">
        <v>226</v>
      </c>
      <c r="Q91" s="19"/>
      <c r="R91" s="19" t="s">
        <v>851</v>
      </c>
      <c r="S91" s="19"/>
      <c r="T91" s="19"/>
    </row>
    <row r="92" spans="1:20" ht="105" customHeight="1" x14ac:dyDescent="0.3">
      <c r="A92" s="18" t="s">
        <v>852</v>
      </c>
      <c r="B92" s="19" t="s">
        <v>163</v>
      </c>
      <c r="C92" s="19" t="s">
        <v>17</v>
      </c>
      <c r="D92" s="19" t="s">
        <v>853</v>
      </c>
      <c r="E92" s="19" t="s">
        <v>130</v>
      </c>
      <c r="F92" s="19" t="s">
        <v>425</v>
      </c>
      <c r="G92" s="19" t="s">
        <v>854</v>
      </c>
      <c r="H92" s="19" t="s">
        <v>855</v>
      </c>
      <c r="I92" s="19" t="s">
        <v>218</v>
      </c>
      <c r="J92" s="19" t="s">
        <v>856</v>
      </c>
      <c r="K92" s="19" t="s">
        <v>857</v>
      </c>
      <c r="L92" s="19" t="s">
        <v>213</v>
      </c>
      <c r="M92" s="25" t="s">
        <v>278</v>
      </c>
      <c r="N92" s="19" t="s">
        <v>858</v>
      </c>
      <c r="O92" s="19" t="s">
        <v>226</v>
      </c>
      <c r="P92" s="19" t="s">
        <v>226</v>
      </c>
      <c r="Q92" s="19"/>
      <c r="R92" s="19" t="s">
        <v>851</v>
      </c>
      <c r="S92" s="19"/>
      <c r="T92" s="19"/>
    </row>
    <row r="93" spans="1:20" ht="105" customHeight="1" x14ac:dyDescent="0.3">
      <c r="A93" s="18" t="s">
        <v>859</v>
      </c>
      <c r="B93" s="19" t="s">
        <v>163</v>
      </c>
      <c r="C93" s="19" t="s">
        <v>17</v>
      </c>
      <c r="D93" s="19" t="s">
        <v>860</v>
      </c>
      <c r="E93" s="19" t="s">
        <v>130</v>
      </c>
      <c r="F93" s="19" t="s">
        <v>425</v>
      </c>
      <c r="G93" s="19" t="s">
        <v>802</v>
      </c>
      <c r="H93" s="19" t="s">
        <v>861</v>
      </c>
      <c r="I93" s="19" t="s">
        <v>218</v>
      </c>
      <c r="J93" s="19" t="s">
        <v>862</v>
      </c>
      <c r="K93" s="19" t="s">
        <v>863</v>
      </c>
      <c r="L93" s="19" t="s">
        <v>213</v>
      </c>
      <c r="M93" s="24" t="s">
        <v>108</v>
      </c>
      <c r="N93" s="19" t="s">
        <v>302</v>
      </c>
      <c r="O93" s="19" t="s">
        <v>226</v>
      </c>
      <c r="P93" s="19" t="s">
        <v>226</v>
      </c>
      <c r="Q93" s="19"/>
      <c r="R93" s="19" t="s">
        <v>851</v>
      </c>
      <c r="S93" s="19"/>
      <c r="T93" s="19"/>
    </row>
    <row r="94" spans="1:20" ht="105" customHeight="1" x14ac:dyDescent="0.3">
      <c r="A94" s="18" t="s">
        <v>864</v>
      </c>
      <c r="B94" s="19" t="s">
        <v>163</v>
      </c>
      <c r="C94" s="19" t="s">
        <v>17</v>
      </c>
      <c r="D94" s="19" t="s">
        <v>865</v>
      </c>
      <c r="E94" s="19" t="s">
        <v>130</v>
      </c>
      <c r="F94" s="19" t="s">
        <v>425</v>
      </c>
      <c r="G94" s="19" t="s">
        <v>759</v>
      </c>
      <c r="H94" s="19" t="s">
        <v>866</v>
      </c>
      <c r="I94" s="19" t="s">
        <v>867</v>
      </c>
      <c r="J94" s="19" t="s">
        <v>868</v>
      </c>
      <c r="K94" s="19" t="s">
        <v>869</v>
      </c>
      <c r="L94" s="19" t="s">
        <v>213</v>
      </c>
      <c r="M94" s="24" t="s">
        <v>108</v>
      </c>
      <c r="N94" s="19" t="s">
        <v>302</v>
      </c>
      <c r="O94" s="19" t="s">
        <v>226</v>
      </c>
      <c r="P94" s="19" t="s">
        <v>226</v>
      </c>
      <c r="Q94" s="19"/>
      <c r="R94" s="19" t="s">
        <v>740</v>
      </c>
      <c r="S94" s="19" t="s">
        <v>217</v>
      </c>
      <c r="T94" s="19" t="s">
        <v>870</v>
      </c>
    </row>
    <row r="95" spans="1:20" ht="105" customHeight="1" x14ac:dyDescent="0.3">
      <c r="A95" s="18" t="s">
        <v>871</v>
      </c>
      <c r="B95" s="19" t="s">
        <v>166</v>
      </c>
      <c r="C95" s="19" t="s">
        <v>17</v>
      </c>
      <c r="D95" s="19" t="s">
        <v>872</v>
      </c>
      <c r="E95" s="19" t="s">
        <v>130</v>
      </c>
      <c r="F95" s="19" t="s">
        <v>207</v>
      </c>
      <c r="G95" s="19" t="s">
        <v>873</v>
      </c>
      <c r="H95" s="19" t="s">
        <v>874</v>
      </c>
      <c r="I95" s="19" t="s">
        <v>875</v>
      </c>
      <c r="J95" s="19" t="s">
        <v>876</v>
      </c>
      <c r="K95" s="19" t="s">
        <v>397</v>
      </c>
      <c r="L95" s="19" t="s">
        <v>213</v>
      </c>
      <c r="M95" s="24" t="s">
        <v>108</v>
      </c>
      <c r="N95" s="19" t="s">
        <v>302</v>
      </c>
      <c r="O95" s="19" t="s">
        <v>226</v>
      </c>
      <c r="P95" s="19" t="s">
        <v>226</v>
      </c>
      <c r="Q95" s="19"/>
      <c r="R95" s="19" t="s">
        <v>569</v>
      </c>
      <c r="S95" s="19"/>
      <c r="T95" s="19"/>
    </row>
    <row r="96" spans="1:20" ht="105" customHeight="1" x14ac:dyDescent="0.3">
      <c r="A96" s="18" t="s">
        <v>877</v>
      </c>
      <c r="B96" s="19" t="s">
        <v>166</v>
      </c>
      <c r="C96" s="19" t="s">
        <v>17</v>
      </c>
      <c r="D96" s="19" t="s">
        <v>878</v>
      </c>
      <c r="E96" s="19" t="s">
        <v>117</v>
      </c>
      <c r="F96" s="19" t="s">
        <v>425</v>
      </c>
      <c r="G96" s="19" t="s">
        <v>873</v>
      </c>
      <c r="H96" s="19" t="s">
        <v>879</v>
      </c>
      <c r="I96" s="19" t="s">
        <v>522</v>
      </c>
      <c r="J96" s="19" t="s">
        <v>880</v>
      </c>
      <c r="K96" s="19" t="s">
        <v>397</v>
      </c>
      <c r="L96" s="19" t="s">
        <v>213</v>
      </c>
      <c r="M96" s="25" t="s">
        <v>278</v>
      </c>
      <c r="N96" s="19" t="s">
        <v>524</v>
      </c>
      <c r="O96" s="19" t="s">
        <v>226</v>
      </c>
      <c r="P96" s="19" t="s">
        <v>226</v>
      </c>
      <c r="Q96" s="19"/>
      <c r="R96" s="19" t="s">
        <v>881</v>
      </c>
      <c r="S96" s="19"/>
      <c r="T96" s="19"/>
    </row>
    <row r="97" spans="1:20" ht="105" customHeight="1" x14ac:dyDescent="0.3">
      <c r="A97" s="18" t="s">
        <v>882</v>
      </c>
      <c r="B97" s="19" t="s">
        <v>166</v>
      </c>
      <c r="C97" s="19" t="s">
        <v>17</v>
      </c>
      <c r="D97" s="19" t="s">
        <v>883</v>
      </c>
      <c r="E97" s="19" t="s">
        <v>117</v>
      </c>
      <c r="F97" s="19" t="s">
        <v>425</v>
      </c>
      <c r="G97" s="19" t="s">
        <v>873</v>
      </c>
      <c r="H97" s="19" t="s">
        <v>884</v>
      </c>
      <c r="I97" s="19" t="s">
        <v>218</v>
      </c>
      <c r="J97" s="19" t="s">
        <v>885</v>
      </c>
      <c r="K97" s="19" t="s">
        <v>397</v>
      </c>
      <c r="L97" s="19" t="s">
        <v>213</v>
      </c>
      <c r="M97" s="24" t="s">
        <v>108</v>
      </c>
      <c r="N97" s="19" t="s">
        <v>886</v>
      </c>
      <c r="O97" s="19" t="s">
        <v>215</v>
      </c>
      <c r="P97" s="19" t="s">
        <v>226</v>
      </c>
      <c r="Q97" s="19"/>
      <c r="R97" s="19" t="s">
        <v>881</v>
      </c>
      <c r="S97" s="19" t="s">
        <v>217</v>
      </c>
      <c r="T97" s="19" t="s">
        <v>887</v>
      </c>
    </row>
    <row r="98" spans="1:20" ht="105" customHeight="1" x14ac:dyDescent="0.3">
      <c r="A98" s="18" t="s">
        <v>888</v>
      </c>
      <c r="B98" s="19" t="s">
        <v>166</v>
      </c>
      <c r="C98" s="19" t="s">
        <v>17</v>
      </c>
      <c r="D98" s="19" t="s">
        <v>889</v>
      </c>
      <c r="E98" s="19" t="s">
        <v>130</v>
      </c>
      <c r="F98" s="19" t="s">
        <v>425</v>
      </c>
      <c r="G98" s="19" t="s">
        <v>890</v>
      </c>
      <c r="H98" s="19" t="s">
        <v>891</v>
      </c>
      <c r="I98" s="19" t="s">
        <v>892</v>
      </c>
      <c r="J98" s="19" t="s">
        <v>893</v>
      </c>
      <c r="K98" s="19" t="s">
        <v>894</v>
      </c>
      <c r="L98" s="19" t="s">
        <v>213</v>
      </c>
      <c r="M98" s="25" t="s">
        <v>278</v>
      </c>
      <c r="N98" s="19" t="s">
        <v>895</v>
      </c>
      <c r="O98" s="19" t="s">
        <v>226</v>
      </c>
      <c r="P98" s="19" t="s">
        <v>226</v>
      </c>
      <c r="Q98" s="19"/>
      <c r="R98" s="19" t="s">
        <v>881</v>
      </c>
      <c r="S98" s="19"/>
      <c r="T98" s="19"/>
    </row>
    <row r="99" spans="1:20" ht="105" customHeight="1" x14ac:dyDescent="0.3">
      <c r="A99" s="18" t="s">
        <v>896</v>
      </c>
      <c r="B99" s="19" t="s">
        <v>166</v>
      </c>
      <c r="C99" s="19" t="s">
        <v>17</v>
      </c>
      <c r="D99" s="19" t="s">
        <v>897</v>
      </c>
      <c r="E99" s="19" t="s">
        <v>130</v>
      </c>
      <c r="F99" s="19" t="s">
        <v>684</v>
      </c>
      <c r="G99" s="19" t="s">
        <v>759</v>
      </c>
      <c r="H99" s="19" t="s">
        <v>898</v>
      </c>
      <c r="I99" s="19" t="s">
        <v>899</v>
      </c>
      <c r="J99" s="19" t="s">
        <v>900</v>
      </c>
      <c r="K99" s="19" t="s">
        <v>901</v>
      </c>
      <c r="L99" s="19" t="s">
        <v>213</v>
      </c>
      <c r="M99" s="25" t="s">
        <v>278</v>
      </c>
      <c r="N99" s="19" t="s">
        <v>473</v>
      </c>
      <c r="O99" s="19" t="s">
        <v>226</v>
      </c>
      <c r="P99" s="19" t="s">
        <v>226</v>
      </c>
      <c r="Q99" s="19"/>
      <c r="R99" s="19" t="s">
        <v>881</v>
      </c>
      <c r="S99" s="19"/>
      <c r="T99" s="19"/>
    </row>
    <row r="100" spans="1:20" ht="105" customHeight="1" x14ac:dyDescent="0.3">
      <c r="A100" s="18" t="s">
        <v>902</v>
      </c>
      <c r="B100" s="19" t="s">
        <v>166</v>
      </c>
      <c r="C100" s="19" t="s">
        <v>17</v>
      </c>
      <c r="D100" s="19" t="s">
        <v>903</v>
      </c>
      <c r="E100" s="19" t="s">
        <v>117</v>
      </c>
      <c r="F100" s="19" t="s">
        <v>425</v>
      </c>
      <c r="G100" s="19" t="s">
        <v>904</v>
      </c>
      <c r="H100" s="19" t="s">
        <v>905</v>
      </c>
      <c r="I100" s="19" t="s">
        <v>906</v>
      </c>
      <c r="J100" s="19" t="s">
        <v>907</v>
      </c>
      <c r="K100" s="19" t="s">
        <v>908</v>
      </c>
      <c r="L100" s="19" t="s">
        <v>430</v>
      </c>
      <c r="M100" s="25" t="s">
        <v>278</v>
      </c>
      <c r="N100" s="19" t="s">
        <v>909</v>
      </c>
      <c r="O100" s="19" t="s">
        <v>226</v>
      </c>
      <c r="P100" s="19" t="s">
        <v>226</v>
      </c>
      <c r="Q100" s="20" t="s">
        <v>753</v>
      </c>
      <c r="R100" s="19" t="s">
        <v>881</v>
      </c>
      <c r="S100" s="19"/>
      <c r="T100" s="19"/>
    </row>
    <row r="101" spans="1:20" ht="105" customHeight="1" x14ac:dyDescent="0.3">
      <c r="A101" s="18" t="s">
        <v>910</v>
      </c>
      <c r="B101" s="19" t="s">
        <v>166</v>
      </c>
      <c r="C101" s="19" t="s">
        <v>17</v>
      </c>
      <c r="D101" s="19" t="s">
        <v>911</v>
      </c>
      <c r="E101" s="19" t="s">
        <v>117</v>
      </c>
      <c r="F101" s="19" t="s">
        <v>207</v>
      </c>
      <c r="G101" s="19" t="s">
        <v>904</v>
      </c>
      <c r="H101" s="19" t="s">
        <v>912</v>
      </c>
      <c r="I101" s="19" t="s">
        <v>913</v>
      </c>
      <c r="J101" s="19" t="s">
        <v>914</v>
      </c>
      <c r="K101" s="19" t="s">
        <v>397</v>
      </c>
      <c r="L101" s="19" t="s">
        <v>213</v>
      </c>
      <c r="M101" s="24" t="s">
        <v>108</v>
      </c>
      <c r="N101" s="19" t="s">
        <v>270</v>
      </c>
      <c r="O101" s="19" t="s">
        <v>215</v>
      </c>
      <c r="P101" s="19" t="s">
        <v>226</v>
      </c>
      <c r="Q101" s="19"/>
      <c r="R101" s="19" t="s">
        <v>740</v>
      </c>
      <c r="S101" s="19" t="s">
        <v>217</v>
      </c>
      <c r="T101" s="19" t="s">
        <v>915</v>
      </c>
    </row>
    <row r="102" spans="1:20" ht="105" customHeight="1" x14ac:dyDescent="0.3">
      <c r="A102" s="18" t="s">
        <v>916</v>
      </c>
      <c r="B102" s="19" t="s">
        <v>166</v>
      </c>
      <c r="C102" s="19" t="s">
        <v>17</v>
      </c>
      <c r="D102" s="19" t="s">
        <v>917</v>
      </c>
      <c r="E102" s="19" t="s">
        <v>130</v>
      </c>
      <c r="F102" s="19" t="s">
        <v>425</v>
      </c>
      <c r="G102" s="19" t="s">
        <v>839</v>
      </c>
      <c r="H102" s="19" t="s">
        <v>918</v>
      </c>
      <c r="I102" s="19" t="s">
        <v>919</v>
      </c>
      <c r="J102" s="19" t="s">
        <v>920</v>
      </c>
      <c r="K102" s="19" t="s">
        <v>397</v>
      </c>
      <c r="L102" s="19" t="s">
        <v>213</v>
      </c>
      <c r="M102" s="25" t="s">
        <v>278</v>
      </c>
      <c r="N102" s="19" t="s">
        <v>537</v>
      </c>
      <c r="O102" s="19" t="s">
        <v>226</v>
      </c>
      <c r="P102" s="19" t="s">
        <v>226</v>
      </c>
      <c r="Q102" s="19"/>
      <c r="R102" s="19" t="s">
        <v>881</v>
      </c>
      <c r="S102" s="19"/>
      <c r="T102" s="19"/>
    </row>
    <row r="103" spans="1:20" ht="105" customHeight="1" x14ac:dyDescent="0.3">
      <c r="A103" s="18" t="s">
        <v>921</v>
      </c>
      <c r="B103" s="19" t="s">
        <v>169</v>
      </c>
      <c r="C103" s="19" t="s">
        <v>17</v>
      </c>
      <c r="D103" s="19" t="s">
        <v>922</v>
      </c>
      <c r="E103" s="19" t="s">
        <v>130</v>
      </c>
      <c r="F103" s="19" t="s">
        <v>425</v>
      </c>
      <c r="G103" s="19" t="s">
        <v>873</v>
      </c>
      <c r="H103" s="19" t="s">
        <v>923</v>
      </c>
      <c r="I103" s="19" t="s">
        <v>218</v>
      </c>
      <c r="J103" s="19" t="s">
        <v>924</v>
      </c>
      <c r="K103" s="19" t="s">
        <v>925</v>
      </c>
      <c r="L103" s="19" t="s">
        <v>213</v>
      </c>
      <c r="M103" s="25" t="s">
        <v>278</v>
      </c>
      <c r="N103" s="19" t="s">
        <v>926</v>
      </c>
      <c r="O103" s="19" t="s">
        <v>226</v>
      </c>
      <c r="P103" s="19" t="s">
        <v>226</v>
      </c>
      <c r="Q103" s="19"/>
      <c r="R103" s="19" t="s">
        <v>927</v>
      </c>
      <c r="S103" s="19"/>
      <c r="T103" s="19"/>
    </row>
    <row r="104" spans="1:20" ht="105" customHeight="1" x14ac:dyDescent="0.3">
      <c r="A104" s="18" t="s">
        <v>928</v>
      </c>
      <c r="B104" s="19" t="s">
        <v>169</v>
      </c>
      <c r="C104" s="19" t="s">
        <v>17</v>
      </c>
      <c r="D104" s="19" t="s">
        <v>929</v>
      </c>
      <c r="E104" s="19" t="s">
        <v>130</v>
      </c>
      <c r="F104" s="19" t="s">
        <v>328</v>
      </c>
      <c r="G104" s="19" t="s">
        <v>930</v>
      </c>
      <c r="H104" s="19" t="s">
        <v>931</v>
      </c>
      <c r="I104" s="19" t="s">
        <v>932</v>
      </c>
      <c r="J104" s="19" t="s">
        <v>933</v>
      </c>
      <c r="K104" s="19" t="s">
        <v>934</v>
      </c>
      <c r="L104" s="19" t="s">
        <v>213</v>
      </c>
      <c r="M104" s="25" t="s">
        <v>278</v>
      </c>
      <c r="N104" s="19" t="s">
        <v>935</v>
      </c>
      <c r="O104" s="19" t="s">
        <v>226</v>
      </c>
      <c r="P104" s="19" t="s">
        <v>226</v>
      </c>
      <c r="Q104" s="19"/>
      <c r="R104" s="19" t="s">
        <v>732</v>
      </c>
      <c r="S104" s="19"/>
      <c r="T104" s="19"/>
    </row>
    <row r="105" spans="1:20" ht="105" customHeight="1" x14ac:dyDescent="0.3">
      <c r="A105" s="18" t="s">
        <v>936</v>
      </c>
      <c r="B105" s="19" t="s">
        <v>169</v>
      </c>
      <c r="C105" s="19" t="s">
        <v>17</v>
      </c>
      <c r="D105" s="19" t="s">
        <v>937</v>
      </c>
      <c r="E105" s="19" t="s">
        <v>130</v>
      </c>
      <c r="F105" s="19" t="s">
        <v>425</v>
      </c>
      <c r="G105" s="19" t="s">
        <v>873</v>
      </c>
      <c r="H105" s="19" t="s">
        <v>938</v>
      </c>
      <c r="I105" s="19" t="s">
        <v>218</v>
      </c>
      <c r="J105" s="19" t="s">
        <v>939</v>
      </c>
      <c r="K105" s="19" t="s">
        <v>940</v>
      </c>
      <c r="L105" s="19" t="s">
        <v>430</v>
      </c>
      <c r="M105" s="25" t="s">
        <v>278</v>
      </c>
      <c r="N105" s="19" t="s">
        <v>926</v>
      </c>
      <c r="O105" s="19" t="s">
        <v>226</v>
      </c>
      <c r="P105" s="19" t="s">
        <v>226</v>
      </c>
      <c r="Q105" s="20" t="s">
        <v>941</v>
      </c>
      <c r="R105" s="19" t="s">
        <v>244</v>
      </c>
      <c r="S105" s="19"/>
      <c r="T105" s="19"/>
    </row>
    <row r="106" spans="1:20" ht="105" customHeight="1" x14ac:dyDescent="0.3">
      <c r="A106" s="18" t="s">
        <v>942</v>
      </c>
      <c r="B106" s="19" t="s">
        <v>169</v>
      </c>
      <c r="C106" s="19" t="s">
        <v>17</v>
      </c>
      <c r="D106" s="19" t="s">
        <v>943</v>
      </c>
      <c r="E106" s="19" t="s">
        <v>130</v>
      </c>
      <c r="F106" s="19" t="s">
        <v>425</v>
      </c>
      <c r="G106" s="19" t="s">
        <v>944</v>
      </c>
      <c r="H106" s="19" t="s">
        <v>945</v>
      </c>
      <c r="I106" s="19" t="s">
        <v>218</v>
      </c>
      <c r="J106" s="19" t="s">
        <v>946</v>
      </c>
      <c r="K106" s="19" t="s">
        <v>946</v>
      </c>
      <c r="L106" s="19" t="s">
        <v>213</v>
      </c>
      <c r="M106" s="25" t="s">
        <v>278</v>
      </c>
      <c r="N106" s="19" t="s">
        <v>537</v>
      </c>
      <c r="O106" s="19" t="s">
        <v>226</v>
      </c>
      <c r="P106" s="19" t="s">
        <v>226</v>
      </c>
      <c r="Q106" s="19"/>
      <c r="R106" s="19" t="s">
        <v>927</v>
      </c>
      <c r="S106" s="19"/>
      <c r="T106" s="19"/>
    </row>
    <row r="107" spans="1:20" ht="105" customHeight="1" x14ac:dyDescent="0.3">
      <c r="A107" s="18" t="s">
        <v>947</v>
      </c>
      <c r="B107" s="19" t="s">
        <v>169</v>
      </c>
      <c r="C107" s="19" t="s">
        <v>17</v>
      </c>
      <c r="D107" s="19" t="s">
        <v>948</v>
      </c>
      <c r="E107" s="19" t="s">
        <v>130</v>
      </c>
      <c r="F107" s="19" t="s">
        <v>425</v>
      </c>
      <c r="G107" s="19" t="s">
        <v>949</v>
      </c>
      <c r="H107" s="19" t="s">
        <v>950</v>
      </c>
      <c r="I107" s="19" t="s">
        <v>951</v>
      </c>
      <c r="J107" s="19" t="s">
        <v>952</v>
      </c>
      <c r="K107" s="19" t="s">
        <v>397</v>
      </c>
      <c r="L107" s="19" t="s">
        <v>213</v>
      </c>
      <c r="M107" s="24" t="s">
        <v>108</v>
      </c>
      <c r="N107" s="19" t="s">
        <v>302</v>
      </c>
      <c r="O107" s="19" t="s">
        <v>226</v>
      </c>
      <c r="P107" s="19" t="s">
        <v>226</v>
      </c>
      <c r="Q107" s="19"/>
      <c r="R107" s="19" t="s">
        <v>927</v>
      </c>
      <c r="S107" s="19"/>
      <c r="T107" s="19"/>
    </row>
    <row r="108" spans="1:20" ht="105" customHeight="1" x14ac:dyDescent="0.3">
      <c r="A108" s="18" t="s">
        <v>953</v>
      </c>
      <c r="B108" s="19" t="s">
        <v>169</v>
      </c>
      <c r="C108" s="19" t="s">
        <v>17</v>
      </c>
      <c r="D108" s="19" t="s">
        <v>954</v>
      </c>
      <c r="E108" s="19" t="s">
        <v>424</v>
      </c>
      <c r="F108" s="19" t="s">
        <v>468</v>
      </c>
      <c r="G108" s="19" t="s">
        <v>873</v>
      </c>
      <c r="H108" s="19" t="s">
        <v>955</v>
      </c>
      <c r="I108" s="19" t="s">
        <v>956</v>
      </c>
      <c r="J108" s="19" t="s">
        <v>957</v>
      </c>
      <c r="K108" s="19" t="s">
        <v>397</v>
      </c>
      <c r="L108" s="19" t="s">
        <v>213</v>
      </c>
      <c r="M108" s="25" t="s">
        <v>278</v>
      </c>
      <c r="N108" s="19" t="s">
        <v>473</v>
      </c>
      <c r="O108" s="19" t="s">
        <v>226</v>
      </c>
      <c r="P108" s="19" t="s">
        <v>226</v>
      </c>
      <c r="Q108" s="19"/>
      <c r="R108" s="19" t="s">
        <v>927</v>
      </c>
      <c r="S108" s="19"/>
      <c r="T108" s="19"/>
    </row>
    <row r="109" spans="1:20" ht="105" customHeight="1" x14ac:dyDescent="0.3">
      <c r="A109" s="18" t="s">
        <v>958</v>
      </c>
      <c r="B109" s="19" t="s">
        <v>172</v>
      </c>
      <c r="C109" s="19" t="s">
        <v>173</v>
      </c>
      <c r="D109" s="19" t="s">
        <v>959</v>
      </c>
      <c r="E109" s="19" t="s">
        <v>117</v>
      </c>
      <c r="F109" s="19" t="s">
        <v>312</v>
      </c>
      <c r="G109" s="19" t="s">
        <v>960</v>
      </c>
      <c r="H109" s="19" t="s">
        <v>961</v>
      </c>
      <c r="I109" s="19" t="s">
        <v>962</v>
      </c>
      <c r="J109" s="19" t="s">
        <v>963</v>
      </c>
      <c r="K109" s="19" t="s">
        <v>964</v>
      </c>
      <c r="L109" s="19" t="s">
        <v>213</v>
      </c>
      <c r="M109" s="25" t="s">
        <v>278</v>
      </c>
      <c r="N109" s="19" t="s">
        <v>965</v>
      </c>
      <c r="O109" s="19" t="s">
        <v>226</v>
      </c>
      <c r="P109" s="19" t="s">
        <v>226</v>
      </c>
      <c r="Q109" s="19"/>
      <c r="R109" s="19" t="s">
        <v>966</v>
      </c>
      <c r="S109" s="19"/>
      <c r="T109" s="19"/>
    </row>
    <row r="110" spans="1:20" ht="105" customHeight="1" x14ac:dyDescent="0.3">
      <c r="A110" s="18" t="s">
        <v>967</v>
      </c>
      <c r="B110" s="19" t="s">
        <v>172</v>
      </c>
      <c r="C110" s="19" t="s">
        <v>173</v>
      </c>
      <c r="D110" s="19" t="s">
        <v>968</v>
      </c>
      <c r="E110" s="19" t="s">
        <v>117</v>
      </c>
      <c r="F110" s="19" t="s">
        <v>312</v>
      </c>
      <c r="G110" s="19" t="s">
        <v>960</v>
      </c>
      <c r="H110" s="19" t="s">
        <v>969</v>
      </c>
      <c r="I110" s="19" t="s">
        <v>970</v>
      </c>
      <c r="J110" s="19" t="s">
        <v>971</v>
      </c>
      <c r="K110" s="19" t="s">
        <v>972</v>
      </c>
      <c r="L110" s="19" t="s">
        <v>213</v>
      </c>
      <c r="M110" s="25" t="s">
        <v>278</v>
      </c>
      <c r="N110" s="19" t="s">
        <v>965</v>
      </c>
      <c r="O110" s="19" t="s">
        <v>226</v>
      </c>
      <c r="P110" s="19" t="s">
        <v>226</v>
      </c>
      <c r="Q110" s="19"/>
      <c r="R110" s="19" t="s">
        <v>966</v>
      </c>
      <c r="S110" s="19"/>
      <c r="T110" s="19"/>
    </row>
    <row r="111" spans="1:20" ht="105" customHeight="1" x14ac:dyDescent="0.3">
      <c r="A111" s="18" t="s">
        <v>973</v>
      </c>
      <c r="B111" s="19" t="s">
        <v>172</v>
      </c>
      <c r="C111" s="19" t="s">
        <v>173</v>
      </c>
      <c r="D111" s="19" t="s">
        <v>974</v>
      </c>
      <c r="E111" s="19" t="s">
        <v>117</v>
      </c>
      <c r="F111" s="19" t="s">
        <v>207</v>
      </c>
      <c r="G111" s="19" t="s">
        <v>975</v>
      </c>
      <c r="H111" s="19" t="s">
        <v>976</v>
      </c>
      <c r="I111" s="19" t="s">
        <v>977</v>
      </c>
      <c r="J111" s="19" t="s">
        <v>978</v>
      </c>
      <c r="K111" s="19" t="s">
        <v>979</v>
      </c>
      <c r="L111" s="19" t="s">
        <v>430</v>
      </c>
      <c r="M111" s="25" t="s">
        <v>278</v>
      </c>
      <c r="N111" s="19" t="s">
        <v>965</v>
      </c>
      <c r="O111" s="19" t="s">
        <v>226</v>
      </c>
      <c r="P111" s="19" t="s">
        <v>226</v>
      </c>
      <c r="Q111" s="20" t="s">
        <v>980</v>
      </c>
      <c r="R111" s="19" t="s">
        <v>981</v>
      </c>
      <c r="S111" s="19"/>
      <c r="T111" s="19"/>
    </row>
    <row r="112" spans="1:20" ht="105" customHeight="1" x14ac:dyDescent="0.3">
      <c r="A112" s="18" t="s">
        <v>982</v>
      </c>
      <c r="B112" s="19" t="s">
        <v>172</v>
      </c>
      <c r="C112" s="19" t="s">
        <v>173</v>
      </c>
      <c r="D112" s="19" t="s">
        <v>983</v>
      </c>
      <c r="E112" s="19" t="s">
        <v>424</v>
      </c>
      <c r="F112" s="19" t="s">
        <v>207</v>
      </c>
      <c r="G112" s="19" t="s">
        <v>975</v>
      </c>
      <c r="H112" s="19" t="s">
        <v>984</v>
      </c>
      <c r="I112" s="19" t="s">
        <v>985</v>
      </c>
      <c r="J112" s="19" t="s">
        <v>986</v>
      </c>
      <c r="K112" s="19" t="s">
        <v>987</v>
      </c>
      <c r="L112" s="19" t="s">
        <v>430</v>
      </c>
      <c r="M112" s="25" t="s">
        <v>278</v>
      </c>
      <c r="N112" s="19" t="s">
        <v>988</v>
      </c>
      <c r="O112" s="19" t="s">
        <v>226</v>
      </c>
      <c r="P112" s="19" t="s">
        <v>226</v>
      </c>
      <c r="Q112" s="20" t="s">
        <v>989</v>
      </c>
      <c r="R112" s="19" t="s">
        <v>981</v>
      </c>
      <c r="S112" s="19"/>
      <c r="T112" s="19"/>
    </row>
    <row r="113" spans="1:20" ht="105" customHeight="1" x14ac:dyDescent="0.3">
      <c r="A113" s="18" t="s">
        <v>990</v>
      </c>
      <c r="B113" s="19" t="s">
        <v>172</v>
      </c>
      <c r="C113" s="19" t="s">
        <v>173</v>
      </c>
      <c r="D113" s="19" t="s">
        <v>991</v>
      </c>
      <c r="E113" s="19" t="s">
        <v>117</v>
      </c>
      <c r="F113" s="19" t="s">
        <v>312</v>
      </c>
      <c r="G113" s="19" t="s">
        <v>992</v>
      </c>
      <c r="H113" s="19" t="s">
        <v>993</v>
      </c>
      <c r="I113" s="19" t="s">
        <v>994</v>
      </c>
      <c r="J113" s="19" t="s">
        <v>995</v>
      </c>
      <c r="K113" s="19" t="s">
        <v>996</v>
      </c>
      <c r="L113" s="19" t="s">
        <v>213</v>
      </c>
      <c r="M113" s="24" t="s">
        <v>278</v>
      </c>
      <c r="N113" s="19" t="s">
        <v>997</v>
      </c>
      <c r="O113" s="19" t="s">
        <v>226</v>
      </c>
      <c r="P113" s="19" t="s">
        <v>226</v>
      </c>
      <c r="Q113" s="19"/>
      <c r="R113" s="19" t="s">
        <v>966</v>
      </c>
      <c r="S113" s="19"/>
      <c r="T113" s="19"/>
    </row>
    <row r="114" spans="1:20" ht="105" customHeight="1" x14ac:dyDescent="0.3">
      <c r="A114" s="18" t="s">
        <v>998</v>
      </c>
      <c r="B114" s="19" t="s">
        <v>172</v>
      </c>
      <c r="C114" s="19" t="s">
        <v>173</v>
      </c>
      <c r="D114" s="19" t="s">
        <v>999</v>
      </c>
      <c r="E114" s="19" t="s">
        <v>130</v>
      </c>
      <c r="F114" s="19" t="s">
        <v>207</v>
      </c>
      <c r="G114" s="19" t="s">
        <v>960</v>
      </c>
      <c r="H114" s="19" t="s">
        <v>1000</v>
      </c>
      <c r="I114" s="19" t="s">
        <v>1001</v>
      </c>
      <c r="J114" s="19" t="s">
        <v>1002</v>
      </c>
      <c r="K114" s="19" t="s">
        <v>1003</v>
      </c>
      <c r="L114" s="19" t="s">
        <v>213</v>
      </c>
      <c r="M114" s="24" t="s">
        <v>278</v>
      </c>
      <c r="N114" s="19" t="s">
        <v>965</v>
      </c>
      <c r="O114" s="19" t="s">
        <v>226</v>
      </c>
      <c r="P114" s="19" t="s">
        <v>226</v>
      </c>
      <c r="Q114" s="19"/>
      <c r="R114" s="19" t="s">
        <v>981</v>
      </c>
      <c r="S114" s="19"/>
      <c r="T114" s="19"/>
    </row>
    <row r="115" spans="1:20" ht="105" customHeight="1" x14ac:dyDescent="0.3">
      <c r="A115" s="18" t="s">
        <v>1004</v>
      </c>
      <c r="B115" s="19" t="s">
        <v>172</v>
      </c>
      <c r="C115" s="19" t="s">
        <v>173</v>
      </c>
      <c r="D115" s="19" t="s">
        <v>1005</v>
      </c>
      <c r="E115" s="19" t="s">
        <v>130</v>
      </c>
      <c r="F115" s="19" t="s">
        <v>207</v>
      </c>
      <c r="G115" s="19" t="s">
        <v>975</v>
      </c>
      <c r="H115" s="19" t="s">
        <v>1006</v>
      </c>
      <c r="I115" s="19" t="s">
        <v>1007</v>
      </c>
      <c r="J115" s="19" t="s">
        <v>1008</v>
      </c>
      <c r="K115" s="19" t="s">
        <v>1009</v>
      </c>
      <c r="L115" s="19" t="s">
        <v>430</v>
      </c>
      <c r="M115" s="24" t="s">
        <v>278</v>
      </c>
      <c r="N115" s="19" t="s">
        <v>965</v>
      </c>
      <c r="O115" s="19" t="s">
        <v>226</v>
      </c>
      <c r="P115" s="19" t="s">
        <v>226</v>
      </c>
      <c r="Q115" s="20" t="s">
        <v>1010</v>
      </c>
      <c r="R115" s="19" t="s">
        <v>981</v>
      </c>
      <c r="S115" s="19"/>
      <c r="T115" s="19"/>
    </row>
    <row r="116" spans="1:20" ht="105" customHeight="1" x14ac:dyDescent="0.3">
      <c r="A116" s="18" t="s">
        <v>1011</v>
      </c>
      <c r="B116" s="19" t="s">
        <v>176</v>
      </c>
      <c r="C116" s="19" t="s">
        <v>11</v>
      </c>
      <c r="D116" s="19" t="s">
        <v>1012</v>
      </c>
      <c r="E116" s="19" t="s">
        <v>117</v>
      </c>
      <c r="F116" s="19" t="s">
        <v>207</v>
      </c>
      <c r="G116" s="19" t="s">
        <v>208</v>
      </c>
      <c r="H116" s="19" t="s">
        <v>1013</v>
      </c>
      <c r="I116" s="19" t="s">
        <v>1014</v>
      </c>
      <c r="J116" s="19" t="s">
        <v>1015</v>
      </c>
      <c r="K116" s="19" t="s">
        <v>1016</v>
      </c>
      <c r="L116" s="19" t="s">
        <v>213</v>
      </c>
      <c r="M116" s="24" t="s">
        <v>108</v>
      </c>
      <c r="N116" s="19" t="s">
        <v>270</v>
      </c>
      <c r="O116" s="19" t="s">
        <v>215</v>
      </c>
      <c r="P116" s="19" t="s">
        <v>226</v>
      </c>
      <c r="Q116" s="19"/>
      <c r="R116" s="19" t="s">
        <v>1017</v>
      </c>
      <c r="S116" s="19" t="s">
        <v>217</v>
      </c>
      <c r="T116" s="19" t="s">
        <v>1018</v>
      </c>
    </row>
    <row r="117" spans="1:20" ht="105" customHeight="1" x14ac:dyDescent="0.3">
      <c r="A117" s="18" t="s">
        <v>1019</v>
      </c>
      <c r="B117" s="19" t="s">
        <v>176</v>
      </c>
      <c r="C117" s="19" t="s">
        <v>11</v>
      </c>
      <c r="D117" s="19" t="s">
        <v>1020</v>
      </c>
      <c r="E117" s="19" t="s">
        <v>130</v>
      </c>
      <c r="F117" s="19" t="s">
        <v>207</v>
      </c>
      <c r="G117" s="19" t="s">
        <v>208</v>
      </c>
      <c r="H117" s="19" t="s">
        <v>1021</v>
      </c>
      <c r="I117" s="19" t="s">
        <v>1022</v>
      </c>
      <c r="J117" s="19" t="s">
        <v>1023</v>
      </c>
      <c r="K117" s="19" t="s">
        <v>1024</v>
      </c>
      <c r="L117" s="19" t="s">
        <v>213</v>
      </c>
      <c r="M117" s="24" t="s">
        <v>108</v>
      </c>
      <c r="N117" s="19" t="s">
        <v>302</v>
      </c>
      <c r="O117" s="19" t="s">
        <v>226</v>
      </c>
      <c r="P117" s="19" t="s">
        <v>226</v>
      </c>
      <c r="Q117" s="19"/>
      <c r="R117" s="19" t="s">
        <v>1017</v>
      </c>
      <c r="S117" s="19"/>
      <c r="T117" s="19"/>
    </row>
    <row r="118" spans="1:20" ht="105" customHeight="1" x14ac:dyDescent="0.3">
      <c r="A118" s="18" t="s">
        <v>1025</v>
      </c>
      <c r="B118" s="19" t="s">
        <v>176</v>
      </c>
      <c r="C118" s="19" t="s">
        <v>11</v>
      </c>
      <c r="D118" s="19" t="s">
        <v>1026</v>
      </c>
      <c r="E118" s="19" t="s">
        <v>130</v>
      </c>
      <c r="F118" s="19" t="s">
        <v>207</v>
      </c>
      <c r="G118" s="19" t="s">
        <v>208</v>
      </c>
      <c r="H118" s="19" t="s">
        <v>1027</v>
      </c>
      <c r="I118" s="19" t="s">
        <v>1028</v>
      </c>
      <c r="J118" s="19" t="s">
        <v>1029</v>
      </c>
      <c r="K118" s="19" t="s">
        <v>1030</v>
      </c>
      <c r="L118" s="19" t="s">
        <v>213</v>
      </c>
      <c r="M118" s="24" t="s">
        <v>108</v>
      </c>
      <c r="N118" s="19" t="s">
        <v>295</v>
      </c>
      <c r="O118" s="19" t="s">
        <v>226</v>
      </c>
      <c r="P118" s="19" t="s">
        <v>226</v>
      </c>
      <c r="Q118" s="19"/>
      <c r="R118" s="19" t="s">
        <v>1017</v>
      </c>
      <c r="S118" s="19" t="s">
        <v>217</v>
      </c>
      <c r="T118" s="19" t="s">
        <v>1031</v>
      </c>
    </row>
    <row r="119" spans="1:20" ht="105" customHeight="1" x14ac:dyDescent="0.3">
      <c r="A119" s="18" t="s">
        <v>1032</v>
      </c>
      <c r="B119" s="19" t="s">
        <v>176</v>
      </c>
      <c r="C119" s="19" t="s">
        <v>11</v>
      </c>
      <c r="D119" s="19" t="s">
        <v>1033</v>
      </c>
      <c r="E119" s="19" t="s">
        <v>130</v>
      </c>
      <c r="F119" s="19" t="s">
        <v>207</v>
      </c>
      <c r="G119" s="19" t="s">
        <v>208</v>
      </c>
      <c r="H119" s="19" t="s">
        <v>1034</v>
      </c>
      <c r="I119" s="19" t="s">
        <v>1035</v>
      </c>
      <c r="J119" s="19" t="s">
        <v>1036</v>
      </c>
      <c r="K119" s="19" t="s">
        <v>1037</v>
      </c>
      <c r="L119" s="19" t="s">
        <v>213</v>
      </c>
      <c r="M119" s="25" t="s">
        <v>278</v>
      </c>
      <c r="N119" s="19" t="s">
        <v>1038</v>
      </c>
      <c r="O119" s="19" t="s">
        <v>226</v>
      </c>
      <c r="P119" s="19" t="s">
        <v>226</v>
      </c>
      <c r="Q119" s="19"/>
      <c r="R119" s="19" t="s">
        <v>1017</v>
      </c>
      <c r="S119" s="19"/>
      <c r="T119" s="19"/>
    </row>
    <row r="120" spans="1:20" ht="105" customHeight="1" x14ac:dyDescent="0.3">
      <c r="A120" s="18" t="s">
        <v>1039</v>
      </c>
      <c r="B120" s="19" t="s">
        <v>176</v>
      </c>
      <c r="C120" s="19" t="s">
        <v>11</v>
      </c>
      <c r="D120" s="19" t="s">
        <v>1040</v>
      </c>
      <c r="E120" s="19" t="s">
        <v>130</v>
      </c>
      <c r="F120" s="19" t="s">
        <v>312</v>
      </c>
      <c r="G120" s="19" t="s">
        <v>208</v>
      </c>
      <c r="H120" s="19" t="s">
        <v>1041</v>
      </c>
      <c r="I120" s="19" t="s">
        <v>1042</v>
      </c>
      <c r="J120" s="19" t="s">
        <v>1043</v>
      </c>
      <c r="K120" s="19" t="s">
        <v>1044</v>
      </c>
      <c r="L120" s="19" t="s">
        <v>213</v>
      </c>
      <c r="M120" s="24" t="s">
        <v>108</v>
      </c>
      <c r="N120" s="19" t="s">
        <v>302</v>
      </c>
      <c r="O120" s="19" t="s">
        <v>226</v>
      </c>
      <c r="P120" s="19" t="s">
        <v>226</v>
      </c>
      <c r="Q120" s="19"/>
      <c r="R120" s="19" t="s">
        <v>1017</v>
      </c>
      <c r="S120" s="19" t="s">
        <v>217</v>
      </c>
      <c r="T120" s="19" t="s">
        <v>1045</v>
      </c>
    </row>
    <row r="121" spans="1:20" ht="105" customHeight="1" x14ac:dyDescent="0.3">
      <c r="A121" s="18" t="s">
        <v>1046</v>
      </c>
      <c r="B121" s="19" t="s">
        <v>176</v>
      </c>
      <c r="C121" s="19" t="s">
        <v>11</v>
      </c>
      <c r="D121" s="19" t="s">
        <v>1047</v>
      </c>
      <c r="E121" s="19" t="s">
        <v>424</v>
      </c>
      <c r="F121" s="19" t="s">
        <v>312</v>
      </c>
      <c r="G121" s="19" t="s">
        <v>208</v>
      </c>
      <c r="H121" s="19" t="s">
        <v>1048</v>
      </c>
      <c r="I121" s="19" t="s">
        <v>1049</v>
      </c>
      <c r="J121" s="19" t="s">
        <v>1050</v>
      </c>
      <c r="K121" s="19" t="s">
        <v>1051</v>
      </c>
      <c r="L121" s="19" t="s">
        <v>213</v>
      </c>
      <c r="M121" s="25" t="s">
        <v>278</v>
      </c>
      <c r="N121" s="19" t="s">
        <v>537</v>
      </c>
      <c r="O121" s="19" t="s">
        <v>226</v>
      </c>
      <c r="P121" s="19" t="s">
        <v>226</v>
      </c>
      <c r="Q121" s="19"/>
      <c r="R121" s="19" t="s">
        <v>1017</v>
      </c>
      <c r="S121" s="19"/>
      <c r="T121" s="19"/>
    </row>
    <row r="122" spans="1:20" ht="105" customHeight="1" x14ac:dyDescent="0.3">
      <c r="A122" s="18" t="s">
        <v>1052</v>
      </c>
      <c r="B122" s="19" t="s">
        <v>176</v>
      </c>
      <c r="C122" s="19" t="s">
        <v>11</v>
      </c>
      <c r="D122" s="19" t="s">
        <v>1053</v>
      </c>
      <c r="E122" s="19" t="s">
        <v>130</v>
      </c>
      <c r="F122" s="19" t="s">
        <v>312</v>
      </c>
      <c r="G122" s="19" t="s">
        <v>208</v>
      </c>
      <c r="H122" s="19" t="s">
        <v>1054</v>
      </c>
      <c r="I122" s="19" t="s">
        <v>1055</v>
      </c>
      <c r="J122" s="19" t="s">
        <v>1056</v>
      </c>
      <c r="K122" s="19" t="s">
        <v>1057</v>
      </c>
      <c r="L122" s="19" t="s">
        <v>213</v>
      </c>
      <c r="M122" s="25" t="s">
        <v>278</v>
      </c>
      <c r="N122" s="19" t="s">
        <v>1058</v>
      </c>
      <c r="O122" s="19" t="s">
        <v>226</v>
      </c>
      <c r="P122" s="19" t="s">
        <v>226</v>
      </c>
      <c r="Q122" s="19"/>
      <c r="R122" s="19" t="s">
        <v>1017</v>
      </c>
      <c r="S122" s="19"/>
      <c r="T122" s="19"/>
    </row>
    <row r="123" spans="1:20" ht="105" customHeight="1" x14ac:dyDescent="0.3">
      <c r="A123" s="18" t="s">
        <v>1059</v>
      </c>
      <c r="B123" s="19" t="s">
        <v>179</v>
      </c>
      <c r="C123" s="19" t="s">
        <v>180</v>
      </c>
      <c r="D123" s="19" t="s">
        <v>1060</v>
      </c>
      <c r="E123" s="19" t="s">
        <v>130</v>
      </c>
      <c r="F123" s="19" t="s">
        <v>1061</v>
      </c>
      <c r="G123" s="19" t="s">
        <v>208</v>
      </c>
      <c r="H123" s="19" t="s">
        <v>1062</v>
      </c>
      <c r="I123" s="19" t="s">
        <v>1063</v>
      </c>
      <c r="J123" s="19" t="s">
        <v>1064</v>
      </c>
      <c r="K123" s="19" t="s">
        <v>1065</v>
      </c>
      <c r="L123" s="19" t="s">
        <v>213</v>
      </c>
      <c r="M123" s="24" t="s">
        <v>108</v>
      </c>
      <c r="N123" s="19" t="s">
        <v>302</v>
      </c>
      <c r="O123" s="19" t="s">
        <v>226</v>
      </c>
      <c r="P123" s="19" t="s">
        <v>226</v>
      </c>
      <c r="Q123" s="19"/>
      <c r="R123" s="19" t="s">
        <v>517</v>
      </c>
      <c r="S123" s="19"/>
      <c r="T123" s="19"/>
    </row>
    <row r="124" spans="1:20" ht="105" customHeight="1" x14ac:dyDescent="0.3">
      <c r="A124" s="18" t="s">
        <v>1066</v>
      </c>
      <c r="B124" s="19" t="s">
        <v>179</v>
      </c>
      <c r="C124" s="19" t="s">
        <v>180</v>
      </c>
      <c r="D124" s="19" t="s">
        <v>1067</v>
      </c>
      <c r="E124" s="19" t="s">
        <v>130</v>
      </c>
      <c r="F124" s="19" t="s">
        <v>1061</v>
      </c>
      <c r="G124" s="19" t="s">
        <v>208</v>
      </c>
      <c r="H124" s="19" t="s">
        <v>1068</v>
      </c>
      <c r="I124" s="19" t="s">
        <v>218</v>
      </c>
      <c r="J124" s="19" t="s">
        <v>1069</v>
      </c>
      <c r="K124" s="19" t="s">
        <v>1070</v>
      </c>
      <c r="L124" s="19" t="s">
        <v>213</v>
      </c>
      <c r="M124" s="24" t="s">
        <v>108</v>
      </c>
      <c r="N124" s="19" t="s">
        <v>302</v>
      </c>
      <c r="O124" s="19" t="s">
        <v>226</v>
      </c>
      <c r="P124" s="19" t="s">
        <v>226</v>
      </c>
      <c r="Q124" s="19"/>
      <c r="R124" s="19" t="s">
        <v>517</v>
      </c>
      <c r="S124" s="19"/>
      <c r="T124" s="19"/>
    </row>
    <row r="125" spans="1:20" ht="105" customHeight="1" x14ac:dyDescent="0.3">
      <c r="A125" s="18" t="s">
        <v>1071</v>
      </c>
      <c r="B125" s="19" t="s">
        <v>179</v>
      </c>
      <c r="C125" s="19" t="s">
        <v>180</v>
      </c>
      <c r="D125" s="19" t="s">
        <v>1072</v>
      </c>
      <c r="E125" s="19" t="s">
        <v>424</v>
      </c>
      <c r="F125" s="19" t="s">
        <v>468</v>
      </c>
      <c r="G125" s="19" t="s">
        <v>208</v>
      </c>
      <c r="H125" s="19" t="s">
        <v>1073</v>
      </c>
      <c r="I125" s="19" t="s">
        <v>218</v>
      </c>
      <c r="J125" s="19" t="s">
        <v>1074</v>
      </c>
      <c r="K125" s="19" t="s">
        <v>1075</v>
      </c>
      <c r="L125" s="19" t="s">
        <v>430</v>
      </c>
      <c r="M125" s="25" t="s">
        <v>278</v>
      </c>
      <c r="N125" s="19" t="s">
        <v>473</v>
      </c>
      <c r="O125" s="19" t="s">
        <v>226</v>
      </c>
      <c r="P125" s="19" t="s">
        <v>226</v>
      </c>
      <c r="Q125" s="20" t="s">
        <v>1076</v>
      </c>
      <c r="R125" s="19" t="s">
        <v>517</v>
      </c>
      <c r="S125" s="19"/>
      <c r="T125" s="19"/>
    </row>
    <row r="126" spans="1:20" ht="105" customHeight="1" x14ac:dyDescent="0.3">
      <c r="A126" s="18" t="s">
        <v>1077</v>
      </c>
      <c r="B126" s="19" t="s">
        <v>183</v>
      </c>
      <c r="C126" s="19" t="s">
        <v>184</v>
      </c>
      <c r="D126" s="19" t="s">
        <v>1078</v>
      </c>
      <c r="E126" s="19" t="s">
        <v>130</v>
      </c>
      <c r="F126" s="19" t="s">
        <v>207</v>
      </c>
      <c r="G126" s="19" t="s">
        <v>208</v>
      </c>
      <c r="H126" s="19" t="s">
        <v>1079</v>
      </c>
      <c r="I126" s="19" t="s">
        <v>1080</v>
      </c>
      <c r="J126" s="19" t="s">
        <v>1081</v>
      </c>
      <c r="K126" s="19" t="s">
        <v>1082</v>
      </c>
      <c r="L126" s="19" t="s">
        <v>213</v>
      </c>
      <c r="M126" s="24" t="s">
        <v>278</v>
      </c>
      <c r="N126" s="19" t="s">
        <v>1083</v>
      </c>
      <c r="O126" s="19" t="s">
        <v>226</v>
      </c>
      <c r="P126" s="19" t="s">
        <v>226</v>
      </c>
      <c r="Q126" s="19"/>
      <c r="R126" s="19" t="s">
        <v>517</v>
      </c>
      <c r="S126" s="19"/>
      <c r="T126" s="19"/>
    </row>
    <row r="127" spans="1:20" ht="105" customHeight="1" x14ac:dyDescent="0.3">
      <c r="A127" s="18" t="s">
        <v>1084</v>
      </c>
      <c r="B127" s="19" t="s">
        <v>183</v>
      </c>
      <c r="C127" s="19" t="s">
        <v>184</v>
      </c>
      <c r="D127" s="19" t="s">
        <v>1085</v>
      </c>
      <c r="E127" s="19" t="s">
        <v>130</v>
      </c>
      <c r="F127" s="19" t="s">
        <v>425</v>
      </c>
      <c r="G127" s="19" t="s">
        <v>208</v>
      </c>
      <c r="H127" s="19" t="s">
        <v>1086</v>
      </c>
      <c r="I127" s="19" t="s">
        <v>1087</v>
      </c>
      <c r="J127" s="19" t="s">
        <v>1088</v>
      </c>
      <c r="K127" s="19" t="s">
        <v>1089</v>
      </c>
      <c r="L127" s="19" t="s">
        <v>213</v>
      </c>
      <c r="M127" s="24" t="s">
        <v>278</v>
      </c>
      <c r="N127" s="19" t="s">
        <v>1090</v>
      </c>
      <c r="O127" s="19" t="s">
        <v>226</v>
      </c>
      <c r="P127" s="19" t="s">
        <v>226</v>
      </c>
      <c r="Q127" s="19"/>
      <c r="R127" s="19" t="s">
        <v>981</v>
      </c>
      <c r="S127" s="19"/>
      <c r="T127" s="19"/>
    </row>
    <row r="128" spans="1:20" ht="105" customHeight="1" x14ac:dyDescent="0.3">
      <c r="A128" s="18" t="s">
        <v>1091</v>
      </c>
      <c r="B128" s="19" t="s">
        <v>183</v>
      </c>
      <c r="C128" s="19" t="s">
        <v>184</v>
      </c>
      <c r="D128" s="19" t="s">
        <v>1092</v>
      </c>
      <c r="E128" s="19" t="s">
        <v>130</v>
      </c>
      <c r="F128" s="19" t="s">
        <v>425</v>
      </c>
      <c r="G128" s="19" t="s">
        <v>208</v>
      </c>
      <c r="H128" s="19" t="s">
        <v>1093</v>
      </c>
      <c r="I128" s="19" t="s">
        <v>1094</v>
      </c>
      <c r="J128" s="19" t="s">
        <v>1095</v>
      </c>
      <c r="K128" s="19" t="s">
        <v>1096</v>
      </c>
      <c r="L128" s="19" t="s">
        <v>213</v>
      </c>
      <c r="M128" s="24" t="s">
        <v>278</v>
      </c>
      <c r="N128" s="19" t="s">
        <v>1090</v>
      </c>
      <c r="O128" s="19" t="s">
        <v>226</v>
      </c>
      <c r="P128" s="19" t="s">
        <v>226</v>
      </c>
      <c r="Q128" s="19"/>
      <c r="R128" s="19" t="s">
        <v>981</v>
      </c>
      <c r="S128" s="19"/>
      <c r="T128" s="19"/>
    </row>
    <row r="129" spans="1:20" ht="105" customHeight="1" x14ac:dyDescent="0.3">
      <c r="A129" s="18" t="s">
        <v>1097</v>
      </c>
      <c r="B129" s="19" t="s">
        <v>179</v>
      </c>
      <c r="C129" s="19" t="s">
        <v>180</v>
      </c>
      <c r="D129" s="19" t="s">
        <v>1098</v>
      </c>
      <c r="E129" s="19" t="s">
        <v>130</v>
      </c>
      <c r="F129" s="19" t="s">
        <v>468</v>
      </c>
      <c r="G129" s="19" t="s">
        <v>208</v>
      </c>
      <c r="H129" s="19" t="s">
        <v>1099</v>
      </c>
      <c r="I129" s="19" t="s">
        <v>1100</v>
      </c>
      <c r="J129" s="19" t="s">
        <v>1101</v>
      </c>
      <c r="K129" s="19" t="s">
        <v>1102</v>
      </c>
      <c r="L129" s="19" t="s">
        <v>430</v>
      </c>
      <c r="M129" s="25" t="s">
        <v>278</v>
      </c>
      <c r="N129" s="19" t="s">
        <v>1103</v>
      </c>
      <c r="O129" s="19" t="s">
        <v>226</v>
      </c>
      <c r="P129" s="19" t="s">
        <v>226</v>
      </c>
      <c r="Q129" s="20" t="s">
        <v>1104</v>
      </c>
      <c r="R129" s="19" t="s">
        <v>517</v>
      </c>
      <c r="S129" s="19"/>
      <c r="T129" s="19"/>
    </row>
    <row r="130" spans="1:20" ht="105" customHeight="1" x14ac:dyDescent="0.3">
      <c r="A130" s="18" t="s">
        <v>1105</v>
      </c>
      <c r="B130" s="19" t="s">
        <v>179</v>
      </c>
      <c r="C130" s="19" t="s">
        <v>180</v>
      </c>
      <c r="D130" s="19" t="s">
        <v>1106</v>
      </c>
      <c r="E130" s="19" t="s">
        <v>424</v>
      </c>
      <c r="F130" s="19" t="s">
        <v>468</v>
      </c>
      <c r="G130" s="19" t="s">
        <v>208</v>
      </c>
      <c r="H130" s="19" t="s">
        <v>1107</v>
      </c>
      <c r="I130" s="19" t="s">
        <v>1108</v>
      </c>
      <c r="J130" s="19" t="s">
        <v>1109</v>
      </c>
      <c r="K130" s="19" t="s">
        <v>1110</v>
      </c>
      <c r="L130" s="19" t="s">
        <v>430</v>
      </c>
      <c r="M130" s="25" t="s">
        <v>278</v>
      </c>
      <c r="N130" s="19" t="s">
        <v>1111</v>
      </c>
      <c r="O130" s="19" t="s">
        <v>226</v>
      </c>
      <c r="P130" s="19" t="s">
        <v>226</v>
      </c>
      <c r="Q130" s="20" t="s">
        <v>1112</v>
      </c>
      <c r="R130" s="19" t="s">
        <v>517</v>
      </c>
      <c r="S130" s="19"/>
      <c r="T130" s="19"/>
    </row>
  </sheetData>
  <autoFilter ref="A4:T130" xr:uid="{00000000-0009-0000-0000-000002000000}"/>
  <conditionalFormatting sqref="L5:L130">
    <cfRule type="expression" dxfId="6" priority="2">
      <formula>$L5="Pass"</formula>
    </cfRule>
    <cfRule type="expression" dxfId="5" priority="3">
      <formula>$L5="Fail"</formula>
    </cfRule>
    <cfRule type="expression" dxfId="4" priority="4">
      <formula>$L5="Blocked"</formula>
    </cfRule>
  </conditionalFormatting>
  <dataValidations count="4">
    <dataValidation type="list" allowBlank="1" sqref="E5:E130" xr:uid="{00000000-0002-0000-0200-000000000000}">
      <formula1>"P1 — Critical,P2 — High,P3 — Medium,P4 — Low"</formula1>
      <formula2>0</formula2>
    </dataValidation>
    <dataValidation type="list" allowBlank="1" sqref="L5:L130" xr:uid="{00000000-0002-0000-0200-000001000000}">
      <formula1>"Not Run,Pass,Fail,Blocked"</formula1>
      <formula2>0</formula2>
    </dataValidation>
    <dataValidation type="list" allowBlank="1" sqref="M5:M130" xr:uid="{00000000-0002-0000-0200-000002000000}">
      <formula1>"Avtomat,Manual"</formula1>
      <formula2>0</formula2>
    </dataValidation>
    <dataValidation type="list" allowBlank="1" sqref="O5:P130" xr:uid="{00000000-0002-0000-0200-000003000000}">
      <formula1>"Bəli,Xeyr"</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36"/>
  <sheetViews>
    <sheetView zoomScaleNormal="100" workbookViewId="0">
      <pane xSplit="4" ySplit="4" topLeftCell="E5" activePane="bottomRight" state="frozen"/>
      <selection pane="topRight" activeCell="E1" sqref="E1"/>
      <selection pane="bottomLeft" activeCell="A5" sqref="A5"/>
      <selection pane="bottomRight" activeCell="B7" sqref="B7"/>
    </sheetView>
  </sheetViews>
  <sheetFormatPr defaultColWidth="8.6640625" defaultRowHeight="14.4" x14ac:dyDescent="0.3"/>
  <cols>
    <col min="1" max="1" width="25.88671875" customWidth="1"/>
    <col min="2" max="2" width="60" customWidth="1"/>
    <col min="3" max="3" width="13.88671875" customWidth="1"/>
    <col min="4" max="4" width="12.6640625" customWidth="1"/>
    <col min="5" max="24" width="11.33203125" customWidth="1"/>
  </cols>
  <sheetData>
    <row r="1" spans="1:24" ht="17.25" customHeight="1" x14ac:dyDescent="0.3">
      <c r="A1" s="26" t="s">
        <v>1113</v>
      </c>
      <c r="B1" s="27"/>
    </row>
    <row r="2" spans="1:24" ht="15" customHeight="1" x14ac:dyDescent="0.3">
      <c r="A2" s="9"/>
      <c r="B2" s="9"/>
      <c r="C2" s="9"/>
      <c r="D2" s="9"/>
      <c r="E2" s="9"/>
      <c r="F2" s="9"/>
      <c r="G2" s="9"/>
      <c r="H2" s="9"/>
    </row>
    <row r="3" spans="1:24" ht="206.25" customHeight="1" x14ac:dyDescent="0.3">
      <c r="A3" s="21"/>
      <c r="B3" s="21"/>
      <c r="C3" s="21"/>
      <c r="D3" s="21"/>
      <c r="E3" s="28" t="s">
        <v>1114</v>
      </c>
      <c r="F3" s="28" t="s">
        <v>1115</v>
      </c>
      <c r="G3" s="28" t="s">
        <v>1116</v>
      </c>
      <c r="H3" s="28" t="s">
        <v>1117</v>
      </c>
      <c r="I3" s="28" t="s">
        <v>1118</v>
      </c>
      <c r="J3" s="28" t="s">
        <v>1119</v>
      </c>
      <c r="K3" s="28" t="s">
        <v>1120</v>
      </c>
      <c r="L3" s="28" t="s">
        <v>1121</v>
      </c>
      <c r="M3" s="28" t="s">
        <v>1122</v>
      </c>
      <c r="N3" s="28" t="s">
        <v>1123</v>
      </c>
      <c r="O3" s="28" t="s">
        <v>1124</v>
      </c>
      <c r="P3" s="28" t="s">
        <v>1125</v>
      </c>
      <c r="Q3" s="28" t="s">
        <v>1126</v>
      </c>
      <c r="R3" s="28" t="s">
        <v>1127</v>
      </c>
      <c r="S3" s="28" t="s">
        <v>1128</v>
      </c>
      <c r="T3" s="28" t="s">
        <v>1129</v>
      </c>
      <c r="U3" s="28" t="s">
        <v>1130</v>
      </c>
      <c r="V3" s="28" t="s">
        <v>1131</v>
      </c>
      <c r="W3" s="28" t="s">
        <v>1132</v>
      </c>
      <c r="X3" s="28" t="s">
        <v>1133</v>
      </c>
    </row>
    <row r="4" spans="1:24" ht="35.25" customHeight="1" x14ac:dyDescent="0.3">
      <c r="A4" s="17" t="s">
        <v>1134</v>
      </c>
      <c r="B4" s="17" t="s">
        <v>1135</v>
      </c>
      <c r="C4" s="17" t="s">
        <v>1136</v>
      </c>
      <c r="D4" s="17" t="s">
        <v>197</v>
      </c>
      <c r="E4" s="17" t="s">
        <v>235</v>
      </c>
      <c r="F4" s="17" t="s">
        <v>253</v>
      </c>
      <c r="G4" s="17" t="s">
        <v>361</v>
      </c>
      <c r="H4" s="17" t="s">
        <v>324</v>
      </c>
      <c r="I4" s="17" t="s">
        <v>1137</v>
      </c>
      <c r="J4" s="17" t="s">
        <v>569</v>
      </c>
      <c r="K4" s="17" t="s">
        <v>740</v>
      </c>
      <c r="L4" s="17" t="s">
        <v>1138</v>
      </c>
      <c r="M4" s="17" t="s">
        <v>1139</v>
      </c>
      <c r="N4" s="17" t="s">
        <v>517</v>
      </c>
      <c r="O4" s="17" t="s">
        <v>244</v>
      </c>
      <c r="P4" s="17" t="s">
        <v>262</v>
      </c>
      <c r="Q4" s="17" t="s">
        <v>981</v>
      </c>
      <c r="R4" s="17" t="s">
        <v>383</v>
      </c>
      <c r="S4" s="17" t="s">
        <v>732</v>
      </c>
      <c r="T4" s="17" t="s">
        <v>1017</v>
      </c>
      <c r="U4" s="17" t="s">
        <v>637</v>
      </c>
      <c r="V4" s="17" t="s">
        <v>433</v>
      </c>
      <c r="W4" s="17" t="s">
        <v>1140</v>
      </c>
      <c r="X4" s="17" t="s">
        <v>966</v>
      </c>
    </row>
    <row r="5" spans="1:24" ht="35.25" customHeight="1" x14ac:dyDescent="0.3">
      <c r="A5" s="29" t="str">
        <f>'Web Test Cases'!A5</f>
        <v>TC_PLP_POS_001</v>
      </c>
      <c r="B5" s="30" t="str">
        <f>'Web Test Cases'!D5</f>
        <v>iPhone kateqoriyası açıldıqda başlıq, breadcrumb, məhsul sayı və məhsul kartları göstərilir</v>
      </c>
      <c r="C5" s="29" t="str">
        <f>'Web Test Cases'!B5</f>
        <v>SC-001</v>
      </c>
      <c r="D5" s="29" t="str">
        <f>'Web Test Cases'!L5</f>
        <v>Pass</v>
      </c>
      <c r="E5" s="31" t="s">
        <v>1141</v>
      </c>
      <c r="F5" s="31"/>
      <c r="G5" s="31"/>
      <c r="H5" s="31"/>
      <c r="I5" s="31"/>
      <c r="J5" s="31"/>
      <c r="K5" s="31"/>
      <c r="L5" s="31"/>
      <c r="M5" s="31"/>
      <c r="N5" s="31"/>
      <c r="O5" s="31" t="s">
        <v>1141</v>
      </c>
      <c r="P5" s="31"/>
      <c r="Q5" s="31"/>
      <c r="R5" s="31"/>
      <c r="S5" s="31"/>
      <c r="T5" s="31"/>
      <c r="U5" s="31"/>
      <c r="V5" s="31"/>
      <c r="W5" s="31"/>
      <c r="X5" s="31"/>
    </row>
    <row r="6" spans="1:24" ht="35.25" customHeight="1" x14ac:dyDescent="0.3">
      <c r="A6" s="29" t="str">
        <f>'Web Test Cases'!A6</f>
        <v>TC_PLP_POS_002</v>
      </c>
      <c r="B6" s="30" t="str">
        <f>'Web Test Cases'!D6</f>
        <v>Hər məhsul kartında ad, qiymət, aylıq ödəniş və düymə göstərilir</v>
      </c>
      <c r="C6" s="29" t="str">
        <f>'Web Test Cases'!B6</f>
        <v>SC-001</v>
      </c>
      <c r="D6" s="29" t="str">
        <f>'Web Test Cases'!L6</f>
        <v>Pass</v>
      </c>
      <c r="E6" s="31" t="s">
        <v>1141</v>
      </c>
      <c r="F6" s="31"/>
      <c r="G6" s="31"/>
      <c r="H6" s="31"/>
      <c r="I6" s="31"/>
      <c r="J6" s="31"/>
      <c r="K6" s="31"/>
      <c r="L6" s="31"/>
      <c r="M6" s="31"/>
      <c r="N6" s="31"/>
      <c r="O6" s="31" t="s">
        <v>1141</v>
      </c>
      <c r="P6" s="31"/>
      <c r="Q6" s="31"/>
      <c r="R6" s="31"/>
      <c r="S6" s="31"/>
      <c r="T6" s="31"/>
      <c r="U6" s="31"/>
      <c r="V6" s="31"/>
      <c r="W6" s="31"/>
      <c r="X6" s="31"/>
    </row>
    <row r="7" spans="1:24" ht="35.25" customHeight="1" x14ac:dyDescent="0.3">
      <c r="A7" s="29" t="str">
        <f>'Web Test Cases'!A7</f>
        <v>TC_PLP_POS_003</v>
      </c>
      <c r="B7" s="30" t="str">
        <f>'Web Test Cases'!D7</f>
        <v>Kartdakı qiymət məhsul səhifəsindəki qiymətlə eynidir</v>
      </c>
      <c r="C7" s="29" t="str">
        <f>'Web Test Cases'!B7</f>
        <v>SC-001</v>
      </c>
      <c r="D7" s="29" t="str">
        <f>'Web Test Cases'!L7</f>
        <v>Pass</v>
      </c>
      <c r="E7" s="31" t="s">
        <v>1141</v>
      </c>
      <c r="F7" s="31"/>
      <c r="G7" s="31"/>
      <c r="H7" s="31"/>
      <c r="I7" s="31"/>
      <c r="J7" s="31"/>
      <c r="K7" s="31"/>
      <c r="L7" s="31"/>
      <c r="M7" s="31"/>
      <c r="N7" s="31"/>
      <c r="O7" s="31"/>
      <c r="P7" s="31"/>
      <c r="Q7" s="31"/>
      <c r="R7" s="31"/>
      <c r="S7" s="31"/>
      <c r="T7" s="31"/>
      <c r="U7" s="31"/>
      <c r="V7" s="31"/>
      <c r="W7" s="31"/>
      <c r="X7" s="31"/>
    </row>
    <row r="8" spans="1:24" ht="35.25" customHeight="1" x14ac:dyDescent="0.3">
      <c r="A8" s="29" t="str">
        <f>'Web Test Cases'!A8</f>
        <v>TC_PLP_POS_004</v>
      </c>
      <c r="B8" s="30" t="str">
        <f>'Web Test Cases'!D8</f>
        <v>Stokda olan məhsulun kartında 'Səbətə', olmayanda 'Ön sifariş' / 'Mənə xəbər ver' düyməsi göstərilir</v>
      </c>
      <c r="C8" s="29" t="str">
        <f>'Web Test Cases'!B8</f>
        <v>SC-001</v>
      </c>
      <c r="D8" s="29" t="str">
        <f>'Web Test Cases'!L8</f>
        <v>Pass</v>
      </c>
      <c r="E8" s="31"/>
      <c r="F8" s="31"/>
      <c r="G8" s="31"/>
      <c r="H8" s="31"/>
      <c r="I8" s="31"/>
      <c r="J8" s="31"/>
      <c r="K8" s="31"/>
      <c r="L8" s="31"/>
      <c r="M8" s="31"/>
      <c r="N8" s="31"/>
      <c r="O8" s="31" t="s">
        <v>1141</v>
      </c>
      <c r="P8" s="31"/>
      <c r="Q8" s="31"/>
      <c r="R8" s="31"/>
      <c r="S8" s="31"/>
      <c r="T8" s="31"/>
      <c r="U8" s="31"/>
      <c r="V8" s="31"/>
      <c r="W8" s="31"/>
      <c r="X8" s="31"/>
    </row>
    <row r="9" spans="1:24" ht="35.25" customHeight="1" x14ac:dyDescent="0.3">
      <c r="A9" s="29" t="str">
        <f>'Web Test Cases'!A9</f>
        <v>TC_PLP_POS_005</v>
      </c>
      <c r="B9" s="30" t="str">
        <f>'Web Test Cases'!D9</f>
        <v>'Mövcuddur' filtri: nəticə sayı sayğaca bərabərdir</v>
      </c>
      <c r="C9" s="29" t="str">
        <f>'Web Test Cases'!B9</f>
        <v>SC-002</v>
      </c>
      <c r="D9" s="29" t="str">
        <f>'Web Test Cases'!L9</f>
        <v>Pass</v>
      </c>
      <c r="E9" s="31"/>
      <c r="F9" s="31" t="s">
        <v>1141</v>
      </c>
      <c r="G9" s="31"/>
      <c r="H9" s="31"/>
      <c r="I9" s="31"/>
      <c r="J9" s="31"/>
      <c r="K9" s="31"/>
      <c r="L9" s="31"/>
      <c r="M9" s="31"/>
      <c r="N9" s="31"/>
      <c r="O9" s="31"/>
      <c r="P9" s="31"/>
      <c r="Q9" s="31"/>
      <c r="R9" s="31"/>
      <c r="S9" s="31"/>
      <c r="T9" s="31"/>
      <c r="U9" s="31"/>
      <c r="V9" s="31"/>
      <c r="W9" s="31"/>
      <c r="X9" s="31"/>
    </row>
    <row r="10" spans="1:24" ht="35.25" customHeight="1" x14ac:dyDescent="0.3">
      <c r="A10" s="29" t="str">
        <f>'Web Test Cases'!A10</f>
        <v>TC_PLP_POS_006</v>
      </c>
      <c r="B10" s="30" t="str">
        <f>'Web Test Cases'!D10</f>
        <v>Bir filtr qrupunda sayğacların cəmi ümumi məhsul sayına bərabərdir</v>
      </c>
      <c r="C10" s="29" t="str">
        <f>'Web Test Cases'!B10</f>
        <v>SC-002</v>
      </c>
      <c r="D10" s="29" t="str">
        <f>'Web Test Cases'!L10</f>
        <v>Pass</v>
      </c>
      <c r="E10" s="31"/>
      <c r="F10" s="31"/>
      <c r="G10" s="31"/>
      <c r="H10" s="31"/>
      <c r="I10" s="31"/>
      <c r="J10" s="31"/>
      <c r="K10" s="31"/>
      <c r="L10" s="31"/>
      <c r="M10" s="31"/>
      <c r="N10" s="31"/>
      <c r="O10" s="31"/>
      <c r="P10" s="31" t="s">
        <v>1141</v>
      </c>
      <c r="Q10" s="31"/>
      <c r="R10" s="31"/>
      <c r="S10" s="31"/>
      <c r="T10" s="31"/>
      <c r="U10" s="31"/>
      <c r="V10" s="31"/>
      <c r="W10" s="31"/>
      <c r="X10" s="31"/>
    </row>
    <row r="11" spans="1:24" ht="35.25" customHeight="1" x14ac:dyDescent="0.3">
      <c r="A11" s="29" t="str">
        <f>'Web Test Cases'!A11</f>
        <v>TC_PLP_POS_007</v>
      </c>
      <c r="B11" s="30" t="str">
        <f>'Web Test Cases'!D11</f>
        <v>Yaddaş filtri yalnız seçilmiş yaddaşlı məhsulları göstərir</v>
      </c>
      <c r="C11" s="29" t="str">
        <f>'Web Test Cases'!B11</f>
        <v>SC-002</v>
      </c>
      <c r="D11" s="29" t="str">
        <f>'Web Test Cases'!L11</f>
        <v>Pass</v>
      </c>
      <c r="E11" s="31"/>
      <c r="F11" s="31" t="s">
        <v>1141</v>
      </c>
      <c r="G11" s="31"/>
      <c r="H11" s="31"/>
      <c r="I11" s="31"/>
      <c r="J11" s="31"/>
      <c r="K11" s="31"/>
      <c r="L11" s="31"/>
      <c r="M11" s="31"/>
      <c r="N11" s="31"/>
      <c r="O11" s="31"/>
      <c r="P11" s="31"/>
      <c r="Q11" s="31"/>
      <c r="R11" s="31"/>
      <c r="S11" s="31"/>
      <c r="T11" s="31"/>
      <c r="U11" s="31"/>
      <c r="V11" s="31"/>
      <c r="W11" s="31"/>
      <c r="X11" s="31"/>
    </row>
    <row r="12" spans="1:24" ht="35.25" customHeight="1" x14ac:dyDescent="0.3">
      <c r="A12" s="29" t="str">
        <f>'Web Test Cases'!A12</f>
        <v>TC_PLP_POS_008</v>
      </c>
      <c r="B12" s="30" t="str">
        <f>'Web Test Cases'!D12</f>
        <v>Rəng filtri yalnız seçilmiş rəngli məhsulları göstərir</v>
      </c>
      <c r="C12" s="29" t="str">
        <f>'Web Test Cases'!B12</f>
        <v>SC-002</v>
      </c>
      <c r="D12" s="29" t="str">
        <f>'Web Test Cases'!L12</f>
        <v>Pass</v>
      </c>
      <c r="E12" s="31"/>
      <c r="F12" s="31" t="s">
        <v>1141</v>
      </c>
      <c r="G12" s="31"/>
      <c r="H12" s="31"/>
      <c r="I12" s="31"/>
      <c r="J12" s="31"/>
      <c r="K12" s="31"/>
      <c r="L12" s="31"/>
      <c r="M12" s="31"/>
      <c r="N12" s="31"/>
      <c r="O12" s="31"/>
      <c r="P12" s="31"/>
      <c r="Q12" s="31"/>
      <c r="R12" s="31"/>
      <c r="S12" s="31"/>
      <c r="T12" s="31"/>
      <c r="U12" s="31"/>
      <c r="V12" s="31"/>
      <c r="W12" s="31"/>
      <c r="X12" s="31"/>
    </row>
    <row r="13" spans="1:24" ht="35.25" customHeight="1" x14ac:dyDescent="0.3">
      <c r="A13" s="29" t="str">
        <f>'Web Test Cases'!A13</f>
        <v>TC_PLP_POS_009</v>
      </c>
      <c r="B13" s="30" t="str">
        <f>'Web Test Cases'!D13</f>
        <v>'256 GB' və 'Mövcuddur' birlikdə seçildikdə yalnız hər iki şərtə uyğun məhsullar göstərilir (VƏ məntiqi)</v>
      </c>
      <c r="C13" s="29" t="str">
        <f>'Web Test Cases'!B13</f>
        <v>SC-002</v>
      </c>
      <c r="D13" s="29" t="str">
        <f>'Web Test Cases'!L13</f>
        <v>Pass</v>
      </c>
      <c r="E13" s="31"/>
      <c r="F13" s="31" t="s">
        <v>1141</v>
      </c>
      <c r="G13" s="31"/>
      <c r="H13" s="31"/>
      <c r="I13" s="31"/>
      <c r="J13" s="31"/>
      <c r="K13" s="31"/>
      <c r="L13" s="31"/>
      <c r="M13" s="31"/>
      <c r="N13" s="31"/>
      <c r="O13" s="31"/>
      <c r="P13" s="31" t="s">
        <v>1141</v>
      </c>
      <c r="Q13" s="31"/>
      <c r="R13" s="31"/>
      <c r="S13" s="31"/>
      <c r="T13" s="31"/>
      <c r="U13" s="31"/>
      <c r="V13" s="31"/>
      <c r="W13" s="31"/>
      <c r="X13" s="31"/>
    </row>
    <row r="14" spans="1:24" ht="35.25" customHeight="1" x14ac:dyDescent="0.3">
      <c r="A14" s="29" t="str">
        <f>'Web Test Cases'!A14</f>
        <v>TC_PLP_POS_010</v>
      </c>
      <c r="B14" s="30" t="str">
        <f>'Web Test Cases'!D14</f>
        <v>'256 GB' və '512 GB' birlikdə seçildikdə nəticə sayı iki sayğacın cəminə bərabərdir (VƏ YA məntiqi)</v>
      </c>
      <c r="C14" s="29" t="str">
        <f>'Web Test Cases'!B14</f>
        <v>SC-002</v>
      </c>
      <c r="D14" s="29" t="str">
        <f>'Web Test Cases'!L14</f>
        <v>Pass</v>
      </c>
      <c r="E14" s="31"/>
      <c r="F14" s="31"/>
      <c r="G14" s="31"/>
      <c r="H14" s="31"/>
      <c r="I14" s="31"/>
      <c r="J14" s="31"/>
      <c r="K14" s="31"/>
      <c r="L14" s="31"/>
      <c r="M14" s="31"/>
      <c r="N14" s="31"/>
      <c r="O14" s="31"/>
      <c r="P14" s="31" t="s">
        <v>1141</v>
      </c>
      <c r="Q14" s="31"/>
      <c r="R14" s="31"/>
      <c r="S14" s="31"/>
      <c r="T14" s="31"/>
      <c r="U14" s="31"/>
      <c r="V14" s="31"/>
      <c r="W14" s="31"/>
      <c r="X14" s="31"/>
    </row>
    <row r="15" spans="1:24" ht="35.25" customHeight="1" x14ac:dyDescent="0.3">
      <c r="A15" s="29" t="str">
        <f>'Web Test Cases'!A15</f>
        <v>TC_PLP_POS_011</v>
      </c>
      <c r="B15" s="30" t="str">
        <f>'Web Test Cases'!D15</f>
        <v>Filtrlər təmizlənəndə ilkin siyahı bərpa olunur</v>
      </c>
      <c r="C15" s="29" t="str">
        <f>'Web Test Cases'!B15</f>
        <v>SC-002</v>
      </c>
      <c r="D15" s="29" t="str">
        <f>'Web Test Cases'!L15</f>
        <v>Pass</v>
      </c>
      <c r="E15" s="31"/>
      <c r="F15" s="31" t="s">
        <v>1141</v>
      </c>
      <c r="G15" s="31"/>
      <c r="H15" s="31"/>
      <c r="I15" s="31"/>
      <c r="J15" s="31"/>
      <c r="K15" s="31"/>
      <c r="L15" s="31"/>
      <c r="M15" s="31"/>
      <c r="N15" s="31"/>
      <c r="O15" s="31"/>
      <c r="P15" s="31" t="s">
        <v>1141</v>
      </c>
      <c r="Q15" s="31"/>
      <c r="R15" s="31"/>
      <c r="S15" s="31"/>
      <c r="T15" s="31"/>
      <c r="U15" s="31"/>
      <c r="V15" s="31"/>
      <c r="W15" s="31"/>
      <c r="X15" s="31"/>
    </row>
    <row r="16" spans="1:24" ht="35.25" customHeight="1" x14ac:dyDescent="0.3">
      <c r="A16" s="29" t="str">
        <f>'Web Test Cases'!A16</f>
        <v>TC_PLP_POS_012</v>
      </c>
      <c r="B16" s="30" t="str">
        <f>'Web Test Cases'!D16</f>
        <v>Filtrli səhifə yeniləndikdə və link yeni tabda açıldıqda filtr qorunur</v>
      </c>
      <c r="C16" s="29" t="str">
        <f>'Web Test Cases'!B16</f>
        <v>SC-002</v>
      </c>
      <c r="D16" s="29" t="str">
        <f>'Web Test Cases'!L16</f>
        <v>Pass</v>
      </c>
      <c r="E16" s="31"/>
      <c r="F16" s="31" t="s">
        <v>1141</v>
      </c>
      <c r="G16" s="31"/>
      <c r="H16" s="31"/>
      <c r="I16" s="31"/>
      <c r="J16" s="31"/>
      <c r="K16" s="31"/>
      <c r="L16" s="31"/>
      <c r="M16" s="31"/>
      <c r="N16" s="31"/>
      <c r="O16" s="31"/>
      <c r="P16" s="31" t="s">
        <v>1141</v>
      </c>
      <c r="Q16" s="31"/>
      <c r="R16" s="31"/>
      <c r="S16" s="31"/>
      <c r="T16" s="31"/>
      <c r="U16" s="31"/>
      <c r="V16" s="31"/>
      <c r="W16" s="31"/>
      <c r="X16" s="31"/>
    </row>
    <row r="17" spans="1:24" ht="35.25" customHeight="1" x14ac:dyDescent="0.3">
      <c r="A17" s="29" t="str">
        <f>'Web Test Cases'!A17</f>
        <v>TC_PLP_NEG_013</v>
      </c>
      <c r="B17" s="30" t="str">
        <f>'Web Test Cases'!D17</f>
        <v>Nəticəsiz filtr kombinasiyasında boş vəziyyət mesajı göstərilir</v>
      </c>
      <c r="C17" s="29" t="str">
        <f>'Web Test Cases'!B17</f>
        <v>SC-002</v>
      </c>
      <c r="D17" s="29" t="str">
        <f>'Web Test Cases'!L17</f>
        <v>Pass</v>
      </c>
      <c r="E17" s="31"/>
      <c r="F17" s="31" t="s">
        <v>1141</v>
      </c>
      <c r="G17" s="31"/>
      <c r="H17" s="31"/>
      <c r="I17" s="31"/>
      <c r="J17" s="31"/>
      <c r="K17" s="31"/>
      <c r="L17" s="31"/>
      <c r="M17" s="31"/>
      <c r="N17" s="31"/>
      <c r="O17" s="31"/>
      <c r="P17" s="31" t="s">
        <v>1141</v>
      </c>
      <c r="Q17" s="31"/>
      <c r="R17" s="31"/>
      <c r="S17" s="31"/>
      <c r="T17" s="31"/>
      <c r="U17" s="31"/>
      <c r="V17" s="31"/>
      <c r="W17" s="31"/>
      <c r="X17" s="31"/>
    </row>
    <row r="18" spans="1:24" ht="35.25" customHeight="1" x14ac:dyDescent="0.3">
      <c r="A18" s="29" t="str">
        <f>'Web Test Cases'!A18</f>
        <v>TC_PLP_POS_014</v>
      </c>
      <c r="B18" s="30" t="str">
        <f>'Web Test Cases'!D18</f>
        <v>Qiymət aralığı daxilində olan məhsullar göstərilir</v>
      </c>
      <c r="C18" s="29" t="str">
        <f>'Web Test Cases'!B18</f>
        <v>SC-003</v>
      </c>
      <c r="D18" s="29" t="str">
        <f>'Web Test Cases'!L18</f>
        <v>Pass</v>
      </c>
      <c r="E18" s="31"/>
      <c r="F18" s="31"/>
      <c r="G18" s="31"/>
      <c r="H18" s="31" t="s">
        <v>1141</v>
      </c>
      <c r="I18" s="31"/>
      <c r="J18" s="31"/>
      <c r="K18" s="31"/>
      <c r="L18" s="31"/>
      <c r="M18" s="31"/>
      <c r="N18" s="31"/>
      <c r="O18" s="31"/>
      <c r="P18" s="31"/>
      <c r="Q18" s="31"/>
      <c r="R18" s="31"/>
      <c r="S18" s="31"/>
      <c r="T18" s="31"/>
      <c r="U18" s="31"/>
      <c r="V18" s="31"/>
      <c r="W18" s="31"/>
      <c r="X18" s="31"/>
    </row>
    <row r="19" spans="1:24" ht="35.25" customHeight="1" x14ac:dyDescent="0.3">
      <c r="A19" s="29" t="str">
        <f>'Web Test Cases'!A19</f>
        <v>TC_PLP_BVA_015</v>
      </c>
      <c r="B19" s="30" t="str">
        <f>'Web Test Cases'!D19</f>
        <v>Qiymət filtrinin sərhədləri daxildir (min = max = məhsulun qiyməti)</v>
      </c>
      <c r="C19" s="29" t="str">
        <f>'Web Test Cases'!B19</f>
        <v>SC-003</v>
      </c>
      <c r="D19" s="29" t="str">
        <f>'Web Test Cases'!L19</f>
        <v>Pass</v>
      </c>
      <c r="E19" s="31"/>
      <c r="F19" s="31"/>
      <c r="G19" s="31"/>
      <c r="H19" s="31" t="s">
        <v>1141</v>
      </c>
      <c r="I19" s="31"/>
      <c r="J19" s="31"/>
      <c r="K19" s="31"/>
      <c r="L19" s="31"/>
      <c r="M19" s="31"/>
      <c r="N19" s="31"/>
      <c r="O19" s="31"/>
      <c r="P19" s="31"/>
      <c r="Q19" s="31"/>
      <c r="R19" s="31"/>
      <c r="S19" s="31"/>
      <c r="T19" s="31"/>
      <c r="U19" s="31"/>
      <c r="V19" s="31"/>
      <c r="W19" s="31"/>
      <c r="X19" s="31"/>
    </row>
    <row r="20" spans="1:24" ht="35.25" customHeight="1" x14ac:dyDescent="0.3">
      <c r="A20" s="29" t="str">
        <f>'Web Test Cases'!A20</f>
        <v>TC_PLP_BVA_016</v>
      </c>
      <c r="B20" s="30" t="str">
        <f>'Web Test Cases'!D20</f>
        <v>Sərhəddən bir vahid kənar dəyər məhsulu xaric edir</v>
      </c>
      <c r="C20" s="29" t="str">
        <f>'Web Test Cases'!B20</f>
        <v>SC-003</v>
      </c>
      <c r="D20" s="29" t="str">
        <f>'Web Test Cases'!L20</f>
        <v>Pass</v>
      </c>
      <c r="E20" s="31"/>
      <c r="F20" s="31"/>
      <c r="G20" s="31"/>
      <c r="H20" s="31" t="s">
        <v>1141</v>
      </c>
      <c r="I20" s="31"/>
      <c r="J20" s="31"/>
      <c r="K20" s="31"/>
      <c r="L20" s="31"/>
      <c r="M20" s="31"/>
      <c r="N20" s="31"/>
      <c r="O20" s="31"/>
      <c r="P20" s="31"/>
      <c r="Q20" s="31"/>
      <c r="R20" s="31"/>
      <c r="S20" s="31"/>
      <c r="T20" s="31"/>
      <c r="U20" s="31"/>
      <c r="V20" s="31"/>
      <c r="W20" s="31"/>
      <c r="X20" s="31"/>
    </row>
    <row r="21" spans="1:24" ht="35.25" customHeight="1" x14ac:dyDescent="0.3">
      <c r="A21" s="29" t="str">
        <f>'Web Test Cases'!A21</f>
        <v>TC_PLP_NEG_017</v>
      </c>
      <c r="B21" s="30" t="str">
        <f>'Web Test Cases'!D21</f>
        <v>Minimum maksimumdan böyük olduqda sistem istifadəçini məlumatlandırır</v>
      </c>
      <c r="C21" s="29" t="str">
        <f>'Web Test Cases'!B21</f>
        <v>SC-003</v>
      </c>
      <c r="D21" s="29" t="str">
        <f>'Web Test Cases'!L21</f>
        <v>Pass</v>
      </c>
      <c r="E21" s="31"/>
      <c r="F21" s="31"/>
      <c r="G21" s="31"/>
      <c r="H21" s="31" t="s">
        <v>1141</v>
      </c>
      <c r="I21" s="31"/>
      <c r="J21" s="31"/>
      <c r="K21" s="31"/>
      <c r="L21" s="31"/>
      <c r="M21" s="31"/>
      <c r="N21" s="31"/>
      <c r="O21" s="31"/>
      <c r="P21" s="31"/>
      <c r="Q21" s="31"/>
      <c r="R21" s="31"/>
      <c r="S21" s="31"/>
      <c r="T21" s="31"/>
      <c r="U21" s="31"/>
      <c r="V21" s="31"/>
      <c r="W21" s="31"/>
      <c r="X21" s="31"/>
    </row>
    <row r="22" spans="1:24" ht="35.25" customHeight="1" x14ac:dyDescent="0.3">
      <c r="A22" s="29" t="str">
        <f>'Web Test Cases'!A22</f>
        <v>TC_PLP_NEG_018</v>
      </c>
      <c r="B22" s="30" t="str">
        <f>'Web Test Cases'!D22</f>
        <v>Qiymət sahəsi qeyri-rəqəm və mənfi dəyərləri qəbul etmir</v>
      </c>
      <c r="C22" s="29" t="str">
        <f>'Web Test Cases'!B22</f>
        <v>SC-003</v>
      </c>
      <c r="D22" s="29" t="str">
        <f>'Web Test Cases'!L22</f>
        <v>Pass</v>
      </c>
      <c r="E22" s="31"/>
      <c r="F22" s="31"/>
      <c r="G22" s="31"/>
      <c r="H22" s="31" t="s">
        <v>1141</v>
      </c>
      <c r="I22" s="31"/>
      <c r="J22" s="31"/>
      <c r="K22" s="31"/>
      <c r="L22" s="31"/>
      <c r="M22" s="31"/>
      <c r="N22" s="31"/>
      <c r="O22" s="31"/>
      <c r="P22" s="31"/>
      <c r="Q22" s="31"/>
      <c r="R22" s="31"/>
      <c r="S22" s="31"/>
      <c r="T22" s="31"/>
      <c r="U22" s="31"/>
      <c r="V22" s="31"/>
      <c r="W22" s="31"/>
      <c r="X22" s="31"/>
    </row>
    <row r="23" spans="1:24" ht="35.25" customHeight="1" x14ac:dyDescent="0.3">
      <c r="A23" s="29" t="str">
        <f>'Web Test Cases'!A23</f>
        <v>TC_PLP_POS_019</v>
      </c>
      <c r="B23" s="30" t="str">
        <f>'Web Test Cases'!D23</f>
        <v>'Aşağı qiymət' sıralaması qiymətləri artan sırada göstərir</v>
      </c>
      <c r="C23" s="29" t="str">
        <f>'Web Test Cases'!B23</f>
        <v>SC-004</v>
      </c>
      <c r="D23" s="29" t="str">
        <f>'Web Test Cases'!L23</f>
        <v>Pass</v>
      </c>
      <c r="E23" s="31"/>
      <c r="F23" s="31"/>
      <c r="G23" s="31" t="s">
        <v>1141</v>
      </c>
      <c r="H23" s="31"/>
      <c r="I23" s="31"/>
      <c r="J23" s="31"/>
      <c r="K23" s="31"/>
      <c r="L23" s="31"/>
      <c r="M23" s="31"/>
      <c r="N23" s="31"/>
      <c r="O23" s="31"/>
      <c r="P23" s="31"/>
      <c r="Q23" s="31"/>
      <c r="R23" s="31"/>
      <c r="S23" s="31"/>
      <c r="T23" s="31"/>
      <c r="U23" s="31"/>
      <c r="V23" s="31"/>
      <c r="W23" s="31"/>
      <c r="X23" s="31"/>
    </row>
    <row r="24" spans="1:24" ht="35.25" customHeight="1" x14ac:dyDescent="0.3">
      <c r="A24" s="29" t="str">
        <f>'Web Test Cases'!A24</f>
        <v>TC_PLP_POS_020</v>
      </c>
      <c r="B24" s="30" t="str">
        <f>'Web Test Cases'!D24</f>
        <v>'Yüksək qiymət' sıralaması azalan sıradadır və ilk məhsul ən bahalısıdır</v>
      </c>
      <c r="C24" s="29" t="str">
        <f>'Web Test Cases'!B24</f>
        <v>SC-004</v>
      </c>
      <c r="D24" s="29" t="str">
        <f>'Web Test Cases'!L24</f>
        <v>Pass</v>
      </c>
      <c r="E24" s="31"/>
      <c r="F24" s="31"/>
      <c r="G24" s="31" t="s">
        <v>1141</v>
      </c>
      <c r="H24" s="31"/>
      <c r="I24" s="31" t="s">
        <v>1141</v>
      </c>
      <c r="J24" s="31"/>
      <c r="K24" s="31"/>
      <c r="L24" s="31"/>
      <c r="M24" s="31"/>
      <c r="N24" s="31"/>
      <c r="O24" s="31"/>
      <c r="P24" s="31"/>
      <c r="Q24" s="31"/>
      <c r="R24" s="31"/>
      <c r="S24" s="31"/>
      <c r="T24" s="31"/>
      <c r="U24" s="31"/>
      <c r="V24" s="31"/>
      <c r="W24" s="31"/>
      <c r="X24" s="31"/>
    </row>
    <row r="25" spans="1:24" ht="35.25" customHeight="1" x14ac:dyDescent="0.3">
      <c r="A25" s="29" t="str">
        <f>'Web Test Cases'!A25</f>
        <v>TC_PLP_POS_021</v>
      </c>
      <c r="B25" s="30" t="str">
        <f>'Web Test Cases'!D25</f>
        <v>Sıralama növbəti səhifədə də davam edir</v>
      </c>
      <c r="C25" s="29" t="str">
        <f>'Web Test Cases'!B25</f>
        <v>SC-004</v>
      </c>
      <c r="D25" s="29" t="str">
        <f>'Web Test Cases'!L25</f>
        <v>Pass</v>
      </c>
      <c r="E25" s="31"/>
      <c r="F25" s="31"/>
      <c r="G25" s="31" t="s">
        <v>1141</v>
      </c>
      <c r="H25" s="31"/>
      <c r="I25" s="31"/>
      <c r="J25" s="31"/>
      <c r="K25" s="31"/>
      <c r="L25" s="31"/>
      <c r="M25" s="31"/>
      <c r="N25" s="31"/>
      <c r="O25" s="31"/>
      <c r="P25" s="31"/>
      <c r="Q25" s="31"/>
      <c r="R25" s="31"/>
      <c r="S25" s="31"/>
      <c r="T25" s="31"/>
      <c r="U25" s="31"/>
      <c r="V25" s="31"/>
      <c r="W25" s="31"/>
      <c r="X25" s="31"/>
    </row>
    <row r="26" spans="1:24" ht="35.25" customHeight="1" x14ac:dyDescent="0.3">
      <c r="A26" s="29" t="str">
        <f>'Web Test Cases'!A26</f>
        <v>TC_PLP_POS_022</v>
      </c>
      <c r="B26" s="30" t="str">
        <f>'Web Test Cases'!D26</f>
        <v>Səhifə ölçüsü və səhifə sayı ümumi məhsul sayına uyğundur</v>
      </c>
      <c r="C26" s="29" t="str">
        <f>'Web Test Cases'!B26</f>
        <v>SC-004</v>
      </c>
      <c r="D26" s="29" t="str">
        <f>'Web Test Cases'!L26</f>
        <v>Pass</v>
      </c>
      <c r="E26" s="31"/>
      <c r="F26" s="31"/>
      <c r="G26" s="31"/>
      <c r="H26" s="31"/>
      <c r="I26" s="31"/>
      <c r="J26" s="31"/>
      <c r="K26" s="31"/>
      <c r="L26" s="31"/>
      <c r="M26" s="31"/>
      <c r="N26" s="31"/>
      <c r="O26" s="31"/>
      <c r="P26" s="31"/>
      <c r="Q26" s="31"/>
      <c r="R26" s="31" t="s">
        <v>1141</v>
      </c>
      <c r="S26" s="31"/>
      <c r="T26" s="31"/>
      <c r="U26" s="31"/>
      <c r="V26" s="31"/>
      <c r="W26" s="31"/>
      <c r="X26" s="31"/>
    </row>
    <row r="27" spans="1:24" ht="35.25" customHeight="1" x14ac:dyDescent="0.3">
      <c r="A27" s="29" t="str">
        <f>'Web Test Cases'!A27</f>
        <v>TC_PLP_POS_023</v>
      </c>
      <c r="B27" s="30" t="str">
        <f>'Web Test Cases'!D27</f>
        <v>Səhifələr arasında məhsul təkrarlanmır və itmir</v>
      </c>
      <c r="C27" s="29" t="str">
        <f>'Web Test Cases'!B27</f>
        <v>SC-004</v>
      </c>
      <c r="D27" s="29" t="str">
        <f>'Web Test Cases'!L27</f>
        <v>Pass</v>
      </c>
      <c r="E27" s="31"/>
      <c r="F27" s="31"/>
      <c r="G27" s="31" t="s">
        <v>1141</v>
      </c>
      <c r="H27" s="31"/>
      <c r="I27" s="31" t="s">
        <v>1141</v>
      </c>
      <c r="J27" s="31"/>
      <c r="K27" s="31"/>
      <c r="L27" s="31"/>
      <c r="M27" s="31"/>
      <c r="N27" s="31"/>
      <c r="O27" s="31"/>
      <c r="P27" s="31"/>
      <c r="Q27" s="31"/>
      <c r="R27" s="31" t="s">
        <v>1141</v>
      </c>
      <c r="S27" s="31"/>
      <c r="T27" s="31"/>
      <c r="U27" s="31"/>
      <c r="V27" s="31"/>
      <c r="W27" s="31"/>
      <c r="X27" s="31"/>
    </row>
    <row r="28" spans="1:24" ht="35.25" customHeight="1" x14ac:dyDescent="0.3">
      <c r="A28" s="29" t="str">
        <f>'Web Test Cases'!A28</f>
        <v>TC_FLT_POS_001</v>
      </c>
      <c r="B28" s="30" t="str">
        <f>'Web Test Cases'!D28</f>
        <v>'iPhone 18 Pro &amp; Pro Max' çipi seçildikdə nəticə sayı həmin seriyaların sayğaclarının cəminə bərabərdir</v>
      </c>
      <c r="C28" s="29" t="str">
        <f>'Web Test Cases'!B28</f>
        <v>SC-005</v>
      </c>
      <c r="D28" s="29" t="str">
        <f>'Web Test Cases'!L28</f>
        <v>Pass</v>
      </c>
      <c r="E28" s="31"/>
      <c r="F28" s="31"/>
      <c r="G28" s="31"/>
      <c r="H28" s="31"/>
      <c r="I28" s="31"/>
      <c r="J28" s="31"/>
      <c r="K28" s="31"/>
      <c r="L28" s="31"/>
      <c r="M28" s="31"/>
      <c r="N28" s="31"/>
      <c r="O28" s="31"/>
      <c r="P28" s="31" t="s">
        <v>1141</v>
      </c>
      <c r="Q28" s="31"/>
      <c r="R28" s="31"/>
      <c r="S28" s="31"/>
      <c r="T28" s="31"/>
      <c r="U28" s="31"/>
      <c r="V28" s="31"/>
      <c r="W28" s="31"/>
      <c r="X28" s="31"/>
    </row>
    <row r="29" spans="1:24" ht="35.25" customHeight="1" x14ac:dyDescent="0.3">
      <c r="A29" s="29" t="str">
        <f>'Web Test Cases'!A29</f>
        <v>TC_FLT_POS_002</v>
      </c>
      <c r="B29" s="30" t="str">
        <f>'Web Test Cases'!D29</f>
        <v>Seriya filtri yalnız dəqiq seriyanı qaytarır (alt-seriyaları qarışdırmır)</v>
      </c>
      <c r="C29" s="29" t="str">
        <f>'Web Test Cases'!B29</f>
        <v>SC-005</v>
      </c>
      <c r="D29" s="29" t="str">
        <f>'Web Test Cases'!L29</f>
        <v>Pass</v>
      </c>
      <c r="E29" s="31"/>
      <c r="F29" s="31" t="s">
        <v>1141</v>
      </c>
      <c r="G29" s="31"/>
      <c r="H29" s="31"/>
      <c r="I29" s="31"/>
      <c r="J29" s="31"/>
      <c r="K29" s="31"/>
      <c r="L29" s="31"/>
      <c r="M29" s="31"/>
      <c r="N29" s="31"/>
      <c r="O29" s="31"/>
      <c r="P29" s="31"/>
      <c r="Q29" s="31"/>
      <c r="R29" s="31"/>
      <c r="S29" s="31"/>
      <c r="T29" s="31"/>
      <c r="U29" s="31"/>
      <c r="V29" s="31"/>
      <c r="W29" s="31"/>
      <c r="X29" s="31"/>
    </row>
    <row r="30" spans="1:24" ht="35.25" customHeight="1" x14ac:dyDescent="0.3">
      <c r="A30" s="29" t="str">
        <f>'Web Test Cases'!A30</f>
        <v>TC_FLT_POS_003</v>
      </c>
      <c r="B30" s="30" t="str">
        <f>'Web Test Cases'!D30</f>
        <v>Bütün Seriya sayğaclarının cəmi ümumi məhsul sayına bərabərdir ('Daha çox göstər' açıq)</v>
      </c>
      <c r="C30" s="29" t="str">
        <f>'Web Test Cases'!B30</f>
        <v>SC-005</v>
      </c>
      <c r="D30" s="29" t="str">
        <f>'Web Test Cases'!L30</f>
        <v>Pass</v>
      </c>
      <c r="E30" s="31"/>
      <c r="F30" s="31"/>
      <c r="G30" s="31"/>
      <c r="H30" s="31"/>
      <c r="I30" s="31"/>
      <c r="J30" s="31"/>
      <c r="K30" s="31"/>
      <c r="L30" s="31"/>
      <c r="M30" s="31"/>
      <c r="N30" s="31"/>
      <c r="O30" s="31"/>
      <c r="P30" s="31" t="s">
        <v>1141</v>
      </c>
      <c r="Q30" s="31"/>
      <c r="R30" s="31"/>
      <c r="S30" s="31"/>
      <c r="T30" s="31"/>
      <c r="U30" s="31"/>
      <c r="V30" s="31"/>
      <c r="W30" s="31"/>
      <c r="X30" s="31"/>
    </row>
    <row r="31" spans="1:24" ht="35.25" customHeight="1" x14ac:dyDescent="0.3">
      <c r="A31" s="29" t="str">
        <f>'Web Test Cases'!A31</f>
        <v>TC_FLT_POS_004</v>
      </c>
      <c r="B31" s="30" t="str">
        <f>'Web Test Cases'!D31</f>
        <v>Ekran diaqonalı filtri: say və PDP göstəricisi uyğundur</v>
      </c>
      <c r="C31" s="29" t="str">
        <f>'Web Test Cases'!B31</f>
        <v>SC-006</v>
      </c>
      <c r="D31" s="29" t="str">
        <f>'Web Test Cases'!L31</f>
        <v>Pass</v>
      </c>
      <c r="E31" s="31"/>
      <c r="F31" s="31"/>
      <c r="G31" s="31"/>
      <c r="H31" s="31"/>
      <c r="I31" s="31"/>
      <c r="J31" s="31"/>
      <c r="K31" s="31"/>
      <c r="L31" s="31"/>
      <c r="M31" s="31"/>
      <c r="N31" s="31"/>
      <c r="O31" s="31"/>
      <c r="P31" s="31" t="s">
        <v>1141</v>
      </c>
      <c r="Q31" s="31"/>
      <c r="R31" s="31"/>
      <c r="S31" s="31"/>
      <c r="T31" s="31"/>
      <c r="U31" s="31"/>
      <c r="V31" s="31"/>
      <c r="W31" s="31"/>
      <c r="X31" s="31"/>
    </row>
    <row r="32" spans="1:24" ht="35.25" customHeight="1" x14ac:dyDescent="0.3">
      <c r="A32" s="29" t="str">
        <f>'Web Test Cases'!A32</f>
        <v>TC_FLT_POS_005</v>
      </c>
      <c r="B32" s="30" t="str">
        <f>'Web Test Cases'!D32</f>
        <v>'48 MP' əsas kamera filtri seçildikdə yalnız tək arxa kameralı modellər göstərilir (12 məhsul)</v>
      </c>
      <c r="C32" s="29" t="str">
        <f>'Web Test Cases'!B32</f>
        <v>SC-006</v>
      </c>
      <c r="D32" s="29" t="str">
        <f>'Web Test Cases'!L32</f>
        <v>Pass</v>
      </c>
      <c r="E32" s="31"/>
      <c r="F32" s="31"/>
      <c r="G32" s="31"/>
      <c r="H32" s="31"/>
      <c r="I32" s="31"/>
      <c r="J32" s="31"/>
      <c r="K32" s="31"/>
      <c r="L32" s="31"/>
      <c r="M32" s="31"/>
      <c r="N32" s="31"/>
      <c r="O32" s="31"/>
      <c r="P32" s="31" t="s">
        <v>1141</v>
      </c>
      <c r="Q32" s="31"/>
      <c r="R32" s="31"/>
      <c r="S32" s="31"/>
      <c r="T32" s="31"/>
      <c r="U32" s="31"/>
      <c r="V32" s="31"/>
      <c r="W32" s="31"/>
      <c r="X32" s="31"/>
    </row>
    <row r="33" spans="1:24" ht="35.25" customHeight="1" x14ac:dyDescent="0.3">
      <c r="A33" s="29" t="str">
        <f>'Web Test Cases'!A33</f>
        <v>TC_FLT_EDGE_006</v>
      </c>
      <c r="B33" s="30" t="str">
        <f>'Web Test Cases'!D33</f>
        <v>'Video izləmə müddəti' filtrinin bütün dəyərləri azərbaycanca və eyni vahidlə ('saat') yazılır</v>
      </c>
      <c r="C33" s="29" t="str">
        <f>'Web Test Cases'!B33</f>
        <v>SC-006</v>
      </c>
      <c r="D33" s="29" t="str">
        <f>'Web Test Cases'!L33</f>
        <v>Fail</v>
      </c>
      <c r="E33" s="31"/>
      <c r="F33" s="31"/>
      <c r="G33" s="31"/>
      <c r="H33" s="31"/>
      <c r="I33" s="31"/>
      <c r="J33" s="31"/>
      <c r="K33" s="31"/>
      <c r="L33" s="31"/>
      <c r="M33" s="31"/>
      <c r="N33" s="31"/>
      <c r="O33" s="31"/>
      <c r="P33" s="31"/>
      <c r="Q33" s="31"/>
      <c r="R33" s="31"/>
      <c r="S33" s="31"/>
      <c r="T33" s="31"/>
      <c r="U33" s="31"/>
      <c r="V33" s="31" t="s">
        <v>1141</v>
      </c>
      <c r="W33" s="31"/>
      <c r="X33" s="31"/>
    </row>
    <row r="34" spans="1:24" ht="35.25" customHeight="1" x14ac:dyDescent="0.3">
      <c r="A34" s="29" t="str">
        <f>'Web Test Cases'!A34</f>
        <v>TC_FLT_EDGE_007</v>
      </c>
      <c r="B34" s="30" t="str">
        <f>'Web Test Cases'!D34</f>
        <v>'36 Hours' filtri ilə tapılan modellərin məhsul səhifəsindəki video izləmə müddəti 36 saatdır</v>
      </c>
      <c r="C34" s="29" t="str">
        <f>'Web Test Cases'!B34</f>
        <v>SC-006</v>
      </c>
      <c r="D34" s="29" t="str">
        <f>'Web Test Cases'!L34</f>
        <v>Fail</v>
      </c>
      <c r="E34" s="31"/>
      <c r="F34" s="31"/>
      <c r="G34" s="31"/>
      <c r="H34" s="31"/>
      <c r="I34" s="31"/>
      <c r="J34" s="31"/>
      <c r="K34" s="31"/>
      <c r="L34" s="31"/>
      <c r="M34" s="31"/>
      <c r="N34" s="31"/>
      <c r="O34" s="31"/>
      <c r="P34" s="31"/>
      <c r="Q34" s="31"/>
      <c r="R34" s="31"/>
      <c r="S34" s="31"/>
      <c r="T34" s="31"/>
      <c r="U34" s="31"/>
      <c r="V34" s="31" t="s">
        <v>1141</v>
      </c>
      <c r="W34" s="31"/>
      <c r="X34" s="31"/>
    </row>
    <row r="35" spans="1:24" ht="35.25" customHeight="1" x14ac:dyDescent="0.3">
      <c r="A35" s="29" t="str">
        <f>'Web Test Cases'!A35</f>
        <v>TC_FLT_POS_008</v>
      </c>
      <c r="B35" s="30" t="str">
        <f>'Web Test Cases'!D35</f>
        <v>SIM kart növü filtri bir-birini istisna edir</v>
      </c>
      <c r="C35" s="29" t="str">
        <f>'Web Test Cases'!B35</f>
        <v>SC-006</v>
      </c>
      <c r="D35" s="29" t="str">
        <f>'Web Test Cases'!L35</f>
        <v>Pass</v>
      </c>
      <c r="E35" s="31"/>
      <c r="F35" s="31"/>
      <c r="G35" s="31"/>
      <c r="H35" s="31"/>
      <c r="I35" s="31"/>
      <c r="J35" s="31"/>
      <c r="K35" s="31"/>
      <c r="L35" s="31"/>
      <c r="M35" s="31"/>
      <c r="N35" s="31"/>
      <c r="O35" s="31"/>
      <c r="P35" s="31" t="s">
        <v>1141</v>
      </c>
      <c r="Q35" s="31"/>
      <c r="R35" s="31"/>
      <c r="S35" s="31"/>
      <c r="T35" s="31"/>
      <c r="U35" s="31"/>
      <c r="V35" s="31"/>
      <c r="W35" s="31"/>
      <c r="X35" s="31"/>
    </row>
    <row r="36" spans="1:24" ht="35.25" customHeight="1" x14ac:dyDescent="0.3">
      <c r="A36" s="29" t="str">
        <f>'Web Test Cases'!A36</f>
        <v>TC_FLT_EDGE_009</v>
      </c>
      <c r="B36" s="30" t="str">
        <f>'Web Test Cases'!D36</f>
        <v>Hər məhsul ən azı bir Rəng dəyərinə bağlıdır (rəng sayğacları cəmi = 213)</v>
      </c>
      <c r="C36" s="29" t="str">
        <f>'Web Test Cases'!B36</f>
        <v>SC-007</v>
      </c>
      <c r="D36" s="29" t="str">
        <f>'Web Test Cases'!L36</f>
        <v>Pass</v>
      </c>
      <c r="E36" s="31"/>
      <c r="F36" s="31"/>
      <c r="G36" s="31"/>
      <c r="H36" s="31"/>
      <c r="I36" s="31"/>
      <c r="J36" s="31"/>
      <c r="K36" s="31"/>
      <c r="L36" s="31"/>
      <c r="M36" s="31"/>
      <c r="N36" s="31"/>
      <c r="O36" s="31"/>
      <c r="P36" s="31" t="s">
        <v>1141</v>
      </c>
      <c r="Q36" s="31"/>
      <c r="R36" s="31"/>
      <c r="S36" s="31"/>
      <c r="T36" s="31"/>
      <c r="U36" s="31"/>
      <c r="V36" s="31"/>
      <c r="W36" s="31"/>
      <c r="X36" s="31"/>
    </row>
    <row r="37" spans="1:24" ht="35.25" customHeight="1" x14ac:dyDescent="0.3">
      <c r="A37" s="29" t="str">
        <f>'Web Test Cases'!A37</f>
        <v>TC_FLT_EDGE_010</v>
      </c>
      <c r="B37" s="30" t="str">
        <f>'Web Test Cases'!D37</f>
        <v>Hər modelin Apple rəng adı vizual rənginə uyğun Rəng filtri dəyərində tapılır</v>
      </c>
      <c r="C37" s="29" t="str">
        <f>'Web Test Cases'!B37</f>
        <v>SC-007</v>
      </c>
      <c r="D37" s="29" t="str">
        <f>'Web Test Cases'!L37</f>
        <v>Pass</v>
      </c>
      <c r="E37" s="31"/>
      <c r="F37" s="31"/>
      <c r="G37" s="31"/>
      <c r="H37" s="31"/>
      <c r="I37" s="31"/>
      <c r="J37" s="31"/>
      <c r="K37" s="31"/>
      <c r="L37" s="31"/>
      <c r="M37" s="31"/>
      <c r="N37" s="31"/>
      <c r="O37" s="31"/>
      <c r="P37" s="31"/>
      <c r="Q37" s="31"/>
      <c r="R37" s="31"/>
      <c r="S37" s="31"/>
      <c r="T37" s="31"/>
      <c r="U37" s="31"/>
      <c r="V37" s="31" t="s">
        <v>1141</v>
      </c>
      <c r="W37" s="31"/>
      <c r="X37" s="31"/>
    </row>
    <row r="38" spans="1:24" ht="35.25" customHeight="1" x14ac:dyDescent="0.3">
      <c r="A38" s="29" t="str">
        <f>'Web Test Cases'!A38</f>
        <v>TC_FLT_EDGE_011</v>
      </c>
      <c r="B38" s="30" t="str">
        <f>'Web Test Cases'!D38</f>
        <v>'Əlavə xüsusiyyətlər' filtri bütün uyğun məhsulları qaytarır (data tamlığı)</v>
      </c>
      <c r="C38" s="29" t="str">
        <f>'Web Test Cases'!B38</f>
        <v>SC-007</v>
      </c>
      <c r="D38" s="29" t="str">
        <f>'Web Test Cases'!L38</f>
        <v>Pass</v>
      </c>
      <c r="E38" s="31"/>
      <c r="F38" s="31"/>
      <c r="G38" s="31"/>
      <c r="H38" s="31"/>
      <c r="I38" s="31"/>
      <c r="J38" s="31"/>
      <c r="K38" s="31"/>
      <c r="L38" s="31"/>
      <c r="M38" s="31"/>
      <c r="N38" s="31"/>
      <c r="O38" s="31"/>
      <c r="P38" s="31"/>
      <c r="Q38" s="31"/>
      <c r="R38" s="31"/>
      <c r="S38" s="31"/>
      <c r="T38" s="31"/>
      <c r="U38" s="31"/>
      <c r="V38" s="31" t="s">
        <v>1141</v>
      </c>
      <c r="W38" s="31"/>
      <c r="X38" s="31"/>
    </row>
    <row r="39" spans="1:24" ht="35.25" customHeight="1" x14ac:dyDescent="0.3">
      <c r="A39" s="29" t="str">
        <f>'Web Test Cases'!A39</f>
        <v>TC_FLT_UI_012</v>
      </c>
      <c r="B39" s="30" t="str">
        <f>'Web Test Cases'!D39</f>
        <v>'Əlavə xüsusiyyətlər' dəyərləri azərbaycancadır</v>
      </c>
      <c r="C39" s="29" t="str">
        <f>'Web Test Cases'!B39</f>
        <v>SC-007</v>
      </c>
      <c r="D39" s="29" t="str">
        <f>'Web Test Cases'!L39</f>
        <v>Fail</v>
      </c>
      <c r="E39" s="31"/>
      <c r="F39" s="31"/>
      <c r="G39" s="31"/>
      <c r="H39" s="31"/>
      <c r="I39" s="31"/>
      <c r="J39" s="31"/>
      <c r="K39" s="31"/>
      <c r="L39" s="31"/>
      <c r="M39" s="31"/>
      <c r="N39" s="31"/>
      <c r="O39" s="31"/>
      <c r="P39" s="31"/>
      <c r="Q39" s="31"/>
      <c r="R39" s="31"/>
      <c r="S39" s="31"/>
      <c r="T39" s="31"/>
      <c r="U39" s="31"/>
      <c r="V39" s="31" t="s">
        <v>1141</v>
      </c>
      <c r="W39" s="31"/>
      <c r="X39" s="31"/>
    </row>
    <row r="40" spans="1:24" ht="35.25" customHeight="1" x14ac:dyDescent="0.3">
      <c r="A40" s="29" t="str">
        <f>'Web Test Cases'!A40</f>
        <v>TC_FLT_POS_013</v>
      </c>
      <c r="B40" s="30" t="str">
        <f>'Web Test Cases'!D40</f>
        <v>Filtr seçildikdən sonra digər qrupların sayğacları nəticəyə görə yenilənir</v>
      </c>
      <c r="C40" s="29" t="str">
        <f>'Web Test Cases'!B40</f>
        <v>SC-008</v>
      </c>
      <c r="D40" s="29" t="str">
        <f>'Web Test Cases'!L40</f>
        <v>Pass</v>
      </c>
      <c r="E40" s="31"/>
      <c r="F40" s="31"/>
      <c r="G40" s="31"/>
      <c r="H40" s="31"/>
      <c r="I40" s="31"/>
      <c r="J40" s="31"/>
      <c r="K40" s="31"/>
      <c r="L40" s="31"/>
      <c r="M40" s="31"/>
      <c r="N40" s="31"/>
      <c r="O40" s="31"/>
      <c r="P40" s="31" t="s">
        <v>1141</v>
      </c>
      <c r="Q40" s="31"/>
      <c r="R40" s="31"/>
      <c r="S40" s="31"/>
      <c r="T40" s="31"/>
      <c r="U40" s="31"/>
      <c r="V40" s="31"/>
      <c r="W40" s="31"/>
      <c r="X40" s="31"/>
    </row>
    <row r="41" spans="1:24" ht="35.25" customHeight="1" x14ac:dyDescent="0.3">
      <c r="A41" s="29" t="str">
        <f>'Web Test Cases'!A41</f>
        <v>TC_FLT_POS_014</v>
      </c>
      <c r="B41" s="30" t="str">
        <f>'Web Test Cases'!D41</f>
        <v>'Tətbiq et' basılmadan seçim nəticəni dəyişmir və itmir</v>
      </c>
      <c r="C41" s="29" t="str">
        <f>'Web Test Cases'!B41</f>
        <v>SC-008</v>
      </c>
      <c r="D41" s="29" t="str">
        <f>'Web Test Cases'!L41</f>
        <v>Pass</v>
      </c>
      <c r="E41" s="31"/>
      <c r="F41" s="31" t="s">
        <v>1141</v>
      </c>
      <c r="G41" s="31"/>
      <c r="H41" s="31"/>
      <c r="I41" s="31"/>
      <c r="J41" s="31"/>
      <c r="K41" s="31"/>
      <c r="L41" s="31"/>
      <c r="M41" s="31"/>
      <c r="N41" s="31"/>
      <c r="O41" s="31"/>
      <c r="P41" s="31" t="s">
        <v>1141</v>
      </c>
      <c r="Q41" s="31"/>
      <c r="R41" s="31"/>
      <c r="S41" s="31"/>
      <c r="T41" s="31"/>
      <c r="U41" s="31"/>
      <c r="V41" s="31"/>
      <c r="W41" s="31"/>
      <c r="X41" s="31"/>
    </row>
    <row r="42" spans="1:24" ht="35.25" customHeight="1" x14ac:dyDescent="0.3">
      <c r="A42" s="29" t="str">
        <f>'Web Test Cases'!A42</f>
        <v>TC_FLT_POS_015</v>
      </c>
      <c r="B42" s="30" t="str">
        <f>'Web Test Cases'!D42</f>
        <v>'+ Daha çox göstər' gizli dəyəri seçdikdən sonra aktiv filtr görünür qalır</v>
      </c>
      <c r="C42" s="29" t="str">
        <f>'Web Test Cases'!B42</f>
        <v>SC-008</v>
      </c>
      <c r="D42" s="29" t="str">
        <f>'Web Test Cases'!L42</f>
        <v>Pass</v>
      </c>
      <c r="E42" s="31"/>
      <c r="F42" s="31" t="s">
        <v>1141</v>
      </c>
      <c r="G42" s="31"/>
      <c r="H42" s="31"/>
      <c r="I42" s="31"/>
      <c r="J42" s="31"/>
      <c r="K42" s="31"/>
      <c r="L42" s="31"/>
      <c r="M42" s="31"/>
      <c r="N42" s="31"/>
      <c r="O42" s="31"/>
      <c r="P42" s="31" t="s">
        <v>1141</v>
      </c>
      <c r="Q42" s="31"/>
      <c r="R42" s="31"/>
      <c r="S42" s="31"/>
      <c r="T42" s="31"/>
      <c r="U42" s="31"/>
      <c r="V42" s="31"/>
      <c r="W42" s="31"/>
      <c r="X42" s="31"/>
    </row>
    <row r="43" spans="1:24" ht="35.25" customHeight="1" x14ac:dyDescent="0.3">
      <c r="A43" s="29" t="str">
        <f>'Web Test Cases'!A43</f>
        <v>TC_FLT_POS_016</v>
      </c>
      <c r="B43" s="30" t="str">
        <f>'Web Test Cases'!D43</f>
        <v>Aktiv filtrlər görünür və tək-tək silinə bilir</v>
      </c>
      <c r="C43" s="29" t="str">
        <f>'Web Test Cases'!B43</f>
        <v>SC-008</v>
      </c>
      <c r="D43" s="29" t="str">
        <f>'Web Test Cases'!L43</f>
        <v>Pass</v>
      </c>
      <c r="E43" s="31"/>
      <c r="F43" s="31" t="s">
        <v>1141</v>
      </c>
      <c r="G43" s="31"/>
      <c r="H43" s="31"/>
      <c r="I43" s="31"/>
      <c r="J43" s="31"/>
      <c r="K43" s="31"/>
      <c r="L43" s="31"/>
      <c r="M43" s="31"/>
      <c r="N43" s="31"/>
      <c r="O43" s="31"/>
      <c r="P43" s="31" t="s">
        <v>1141</v>
      </c>
      <c r="Q43" s="31"/>
      <c r="R43" s="31"/>
      <c r="S43" s="31"/>
      <c r="T43" s="31"/>
      <c r="U43" s="31"/>
      <c r="V43" s="31"/>
      <c r="W43" s="31"/>
      <c r="X43" s="31"/>
    </row>
    <row r="44" spans="1:24" ht="35.25" customHeight="1" x14ac:dyDescent="0.3">
      <c r="A44" s="29" t="str">
        <f>'Web Test Cases'!A44</f>
        <v>TC_FLT_POS_017</v>
      </c>
      <c r="B44" s="30" t="str">
        <f>'Web Test Cases'!D44</f>
        <v>Üç fərqli qrupdan filtr kombinasiyası dəqiq nəticə verir</v>
      </c>
      <c r="C44" s="29" t="str">
        <f>'Web Test Cases'!B44</f>
        <v>SC-009</v>
      </c>
      <c r="D44" s="29" t="str">
        <f>'Web Test Cases'!L44</f>
        <v>Pass</v>
      </c>
      <c r="E44" s="31"/>
      <c r="F44" s="31"/>
      <c r="G44" s="31"/>
      <c r="H44" s="31"/>
      <c r="I44" s="31"/>
      <c r="J44" s="31"/>
      <c r="K44" s="31"/>
      <c r="L44" s="31"/>
      <c r="M44" s="31"/>
      <c r="N44" s="31"/>
      <c r="O44" s="31"/>
      <c r="P44" s="31"/>
      <c r="Q44" s="31"/>
      <c r="R44" s="31"/>
      <c r="S44" s="31"/>
      <c r="T44" s="31"/>
      <c r="U44" s="31"/>
      <c r="V44" s="31" t="s">
        <v>1141</v>
      </c>
      <c r="W44" s="31"/>
      <c r="X44" s="31"/>
    </row>
    <row r="45" spans="1:24" ht="35.25" customHeight="1" x14ac:dyDescent="0.3">
      <c r="A45" s="29" t="str">
        <f>'Web Test Cases'!A45</f>
        <v>TC_FLT_EDGE_018</v>
      </c>
      <c r="B45" s="30" t="str">
        <f>'Web Test Cases'!D45</f>
        <v>Filtr və 'Aşağı qiymət' sıralaması ilə səhifələr arasında keçdikdə filtr və sıra bütün səhifələrdə saxlanır</v>
      </c>
      <c r="C45" s="29" t="str">
        <f>'Web Test Cases'!B45</f>
        <v>SC-009</v>
      </c>
      <c r="D45" s="29" t="str">
        <f>'Web Test Cases'!L45</f>
        <v>Pass</v>
      </c>
      <c r="E45" s="31"/>
      <c r="F45" s="31"/>
      <c r="G45" s="31" t="s">
        <v>1141</v>
      </c>
      <c r="H45" s="31"/>
      <c r="I45" s="31"/>
      <c r="J45" s="31"/>
      <c r="K45" s="31"/>
      <c r="L45" s="31"/>
      <c r="M45" s="31"/>
      <c r="N45" s="31"/>
      <c r="O45" s="31"/>
      <c r="P45" s="31"/>
      <c r="Q45" s="31"/>
      <c r="R45" s="31" t="s">
        <v>1141</v>
      </c>
      <c r="S45" s="31"/>
      <c r="T45" s="31"/>
      <c r="U45" s="31"/>
      <c r="V45" s="31"/>
      <c r="W45" s="31"/>
      <c r="X45" s="31"/>
    </row>
    <row r="46" spans="1:24" ht="35.25" customHeight="1" x14ac:dyDescent="0.3">
      <c r="A46" s="29" t="str">
        <f>'Web Test Cases'!A46</f>
        <v>TC_FLT_EDGE_019</v>
      </c>
      <c r="B46" s="30" t="str">
        <f>'Web Test Cases'!D46</f>
        <v>Brauzerin 'Geri' düyməsi əvvəlki filtr vəziyyətini bərpa edir</v>
      </c>
      <c r="C46" s="29" t="str">
        <f>'Web Test Cases'!B46</f>
        <v>SC-009</v>
      </c>
      <c r="D46" s="29" t="str">
        <f>'Web Test Cases'!L46</f>
        <v>Pass</v>
      </c>
      <c r="E46" s="31"/>
      <c r="F46" s="31"/>
      <c r="G46" s="31"/>
      <c r="H46" s="31"/>
      <c r="I46" s="31"/>
      <c r="J46" s="31"/>
      <c r="K46" s="31"/>
      <c r="L46" s="31"/>
      <c r="M46" s="31"/>
      <c r="N46" s="31"/>
      <c r="O46" s="31"/>
      <c r="P46" s="31"/>
      <c r="Q46" s="31"/>
      <c r="R46" s="31"/>
      <c r="S46" s="31"/>
      <c r="T46" s="31"/>
      <c r="U46" s="31"/>
      <c r="V46" s="31" t="s">
        <v>1141</v>
      </c>
      <c r="W46" s="31"/>
      <c r="X46" s="31"/>
    </row>
    <row r="47" spans="1:24" ht="35.25" customHeight="1" x14ac:dyDescent="0.3">
      <c r="A47" s="29" t="str">
        <f>'Web Test Cases'!A47</f>
        <v>TC_FLT_EDGE_020</v>
      </c>
      <c r="B47" s="30" t="str">
        <f>'Web Test Cases'!D47</f>
        <v>Dil dəyişəndə filtr qorunur və sayğaclar eynidir</v>
      </c>
      <c r="C47" s="29" t="str">
        <f>'Web Test Cases'!B47</f>
        <v>SC-009</v>
      </c>
      <c r="D47" s="29" t="str">
        <f>'Web Test Cases'!L47</f>
        <v>Fail</v>
      </c>
      <c r="E47" s="31"/>
      <c r="F47" s="31"/>
      <c r="G47" s="31"/>
      <c r="H47" s="31"/>
      <c r="I47" s="31"/>
      <c r="J47" s="31"/>
      <c r="K47" s="31"/>
      <c r="L47" s="31"/>
      <c r="M47" s="31"/>
      <c r="N47" s="31" t="s">
        <v>1141</v>
      </c>
      <c r="O47" s="31"/>
      <c r="P47" s="31"/>
      <c r="Q47" s="31"/>
      <c r="R47" s="31"/>
      <c r="S47" s="31"/>
      <c r="T47" s="31"/>
      <c r="U47" s="31"/>
      <c r="V47" s="31"/>
      <c r="W47" s="31"/>
      <c r="X47" s="31"/>
    </row>
    <row r="48" spans="1:24" ht="35.25" customHeight="1" x14ac:dyDescent="0.3">
      <c r="A48" s="29" t="str">
        <f>'Web Test Cases'!A48</f>
        <v>TC_FLT_EDGE_021</v>
      </c>
      <c r="B48" s="30" t="str">
        <f>'Web Test Cases'!D48</f>
        <v>Endirimli məhsul qiymət filtrində endirimli (faktiki) qiymətinə görə tapılır</v>
      </c>
      <c r="C48" s="29" t="str">
        <f>'Web Test Cases'!B48</f>
        <v>SC-009</v>
      </c>
      <c r="D48" s="29" t="str">
        <f>'Web Test Cases'!L48</f>
        <v>Pass</v>
      </c>
      <c r="E48" s="31"/>
      <c r="F48" s="31"/>
      <c r="G48" s="31"/>
      <c r="H48" s="31"/>
      <c r="I48" s="31"/>
      <c r="J48" s="31"/>
      <c r="K48" s="31"/>
      <c r="L48" s="31"/>
      <c r="M48" s="31"/>
      <c r="N48" s="31"/>
      <c r="O48" s="31"/>
      <c r="P48" s="31"/>
      <c r="Q48" s="31"/>
      <c r="R48" s="31"/>
      <c r="S48" s="31"/>
      <c r="T48" s="31"/>
      <c r="U48" s="31"/>
      <c r="V48" s="31" t="s">
        <v>1141</v>
      </c>
      <c r="W48" s="31"/>
      <c r="X48" s="31"/>
    </row>
    <row r="49" spans="1:24" ht="35.25" customHeight="1" x14ac:dyDescent="0.3">
      <c r="A49" s="29" t="str">
        <f>'Web Test Cases'!A49</f>
        <v>TC_FLT_BVA_022</v>
      </c>
      <c r="B49" s="30" t="str">
        <f>'Web Test Cases'!D49</f>
        <v>Qiymət filtrində yalnız 'dən', yalnız 'qədər' və ən yüksək qiymətdən böyük dəyər daxil edildikdə nəticə sərhədə uyğundur</v>
      </c>
      <c r="C49" s="29" t="str">
        <f>'Web Test Cases'!B49</f>
        <v>SC-009</v>
      </c>
      <c r="D49" s="29" t="str">
        <f>'Web Test Cases'!L49</f>
        <v>Pass</v>
      </c>
      <c r="E49" s="31"/>
      <c r="F49" s="31"/>
      <c r="G49" s="31"/>
      <c r="H49" s="31" t="s">
        <v>1141</v>
      </c>
      <c r="I49" s="31" t="s">
        <v>1141</v>
      </c>
      <c r="J49" s="31"/>
      <c r="K49" s="31"/>
      <c r="L49" s="31"/>
      <c r="M49" s="31"/>
      <c r="N49" s="31"/>
      <c r="O49" s="31"/>
      <c r="P49" s="31"/>
      <c r="Q49" s="31"/>
      <c r="R49" s="31"/>
      <c r="S49" s="31"/>
      <c r="T49" s="31"/>
      <c r="U49" s="31"/>
      <c r="V49" s="31"/>
      <c r="W49" s="31"/>
      <c r="X49" s="31"/>
    </row>
    <row r="50" spans="1:24" ht="35.25" customHeight="1" x14ac:dyDescent="0.3">
      <c r="A50" s="29" t="str">
        <f>'Web Test Cases'!A50</f>
        <v>TC_FLT_EDGE_023</v>
      </c>
      <c r="B50" s="30" t="str">
        <f>'Web Test Cases'!D50</f>
        <v>Filtrli URL-də parametr əl ilə səhv dəyərə dəyişdirildikdə boş vəziyyət və ya filtrsiz siyahı göstərilir</v>
      </c>
      <c r="C50" s="29" t="str">
        <f>'Web Test Cases'!B50</f>
        <v>SC-009</v>
      </c>
      <c r="D50" s="29" t="str">
        <f>'Web Test Cases'!L50</f>
        <v>Pass</v>
      </c>
      <c r="E50" s="31"/>
      <c r="F50" s="31"/>
      <c r="G50" s="31"/>
      <c r="H50" s="31"/>
      <c r="I50" s="31"/>
      <c r="J50" s="31"/>
      <c r="K50" s="31"/>
      <c r="L50" s="31"/>
      <c r="M50" s="31"/>
      <c r="N50" s="31"/>
      <c r="O50" s="31"/>
      <c r="P50" s="31"/>
      <c r="Q50" s="31"/>
      <c r="R50" s="31"/>
      <c r="S50" s="31"/>
      <c r="T50" s="31"/>
      <c r="U50" s="31"/>
      <c r="V50" s="31" t="s">
        <v>1141</v>
      </c>
      <c r="W50" s="31"/>
      <c r="X50" s="31"/>
    </row>
    <row r="51" spans="1:24" ht="35.25" customHeight="1" x14ac:dyDescent="0.3">
      <c r="A51" s="29" t="str">
        <f>'Web Test Cases'!A51</f>
        <v>TC_PDP_POS_001</v>
      </c>
      <c r="B51" s="30" t="str">
        <f>'Web Test Cases'!D51</f>
        <v>Stokda olan məhsulun səhifəsində ad, məhsul kodu, qiymət, aylıq ödəniş, 'Səbətə' və '1 kliklə al' göstərilir</v>
      </c>
      <c r="C51" s="29" t="str">
        <f>'Web Test Cases'!B51</f>
        <v>SC-010</v>
      </c>
      <c r="D51" s="29" t="str">
        <f>'Web Test Cases'!L51</f>
        <v>Pass</v>
      </c>
      <c r="E51" s="31" t="s">
        <v>1141</v>
      </c>
      <c r="F51" s="31"/>
      <c r="G51" s="31"/>
      <c r="H51" s="31"/>
      <c r="I51" s="31"/>
      <c r="J51" s="31"/>
      <c r="K51" s="31"/>
      <c r="L51" s="31" t="s">
        <v>1141</v>
      </c>
      <c r="M51" s="31"/>
      <c r="N51" s="31"/>
      <c r="O51" s="31"/>
      <c r="P51" s="31"/>
      <c r="Q51" s="31"/>
      <c r="R51" s="31"/>
      <c r="S51" s="31"/>
      <c r="T51" s="31"/>
      <c r="U51" s="31"/>
      <c r="V51" s="31"/>
      <c r="W51" s="31"/>
      <c r="X51" s="31"/>
    </row>
    <row r="52" spans="1:24" ht="35.25" customHeight="1" x14ac:dyDescent="0.3">
      <c r="A52" s="29" t="str">
        <f>'Web Test Cases'!A52</f>
        <v>TC_PDP_POS_002</v>
      </c>
      <c r="B52" s="30" t="str">
        <f>'Web Test Cases'!D52</f>
        <v>PDP-dəki aylıq ödəniş listing kartındakı ilə eynidir</v>
      </c>
      <c r="C52" s="29" t="str">
        <f>'Web Test Cases'!B52</f>
        <v>SC-010</v>
      </c>
      <c r="D52" s="29" t="str">
        <f>'Web Test Cases'!L52</f>
        <v>Pass</v>
      </c>
      <c r="E52" s="31"/>
      <c r="F52" s="31"/>
      <c r="G52" s="31"/>
      <c r="H52" s="31"/>
      <c r="I52" s="31"/>
      <c r="J52" s="31"/>
      <c r="K52" s="31"/>
      <c r="L52" s="31" t="s">
        <v>1141</v>
      </c>
      <c r="M52" s="31" t="s">
        <v>1141</v>
      </c>
      <c r="N52" s="31"/>
      <c r="O52" s="31"/>
      <c r="P52" s="31"/>
      <c r="Q52" s="31"/>
      <c r="R52" s="31"/>
      <c r="S52" s="31"/>
      <c r="T52" s="31"/>
      <c r="U52" s="31"/>
      <c r="V52" s="31"/>
      <c r="W52" s="31"/>
      <c r="X52" s="31"/>
    </row>
    <row r="53" spans="1:24" ht="35.25" customHeight="1" x14ac:dyDescent="0.3">
      <c r="A53" s="29" t="str">
        <f>'Web Test Cases'!A53</f>
        <v>TC_PDP_UI_003</v>
      </c>
      <c r="B53" s="30" t="str">
        <f>'Web Test Cases'!D53</f>
        <v>AZ versiyada məhsul təsviri və texniki göstəricilər tərcümə və orfoqrafiya səhvi olmadan göstərilir</v>
      </c>
      <c r="C53" s="29" t="str">
        <f>'Web Test Cases'!B53</f>
        <v>SC-010</v>
      </c>
      <c r="D53" s="29" t="str">
        <f>'Web Test Cases'!L53</f>
        <v>Pass</v>
      </c>
      <c r="E53" s="31" t="s">
        <v>1141</v>
      </c>
      <c r="F53" s="31"/>
      <c r="G53" s="31"/>
      <c r="H53" s="31"/>
      <c r="I53" s="31"/>
      <c r="J53" s="31"/>
      <c r="K53" s="31"/>
      <c r="L53" s="31" t="s">
        <v>1141</v>
      </c>
      <c r="M53" s="31"/>
      <c r="N53" s="31"/>
      <c r="O53" s="31"/>
      <c r="P53" s="31"/>
      <c r="Q53" s="31"/>
      <c r="R53" s="31"/>
      <c r="S53" s="31"/>
      <c r="T53" s="31"/>
      <c r="U53" s="31"/>
      <c r="V53" s="31"/>
      <c r="W53" s="31"/>
      <c r="X53" s="31"/>
    </row>
    <row r="54" spans="1:24" ht="35.25" customHeight="1" x14ac:dyDescent="0.3">
      <c r="A54" s="29" t="str">
        <f>'Web Test Cases'!A54</f>
        <v>TC_PDP_POS_004</v>
      </c>
      <c r="B54" s="30" t="str">
        <f>'Web Test Cases'!D54</f>
        <v>Yaddaş variantı dəyişəndə məhsul məlumatları yenilənir</v>
      </c>
      <c r="C54" s="29" t="str">
        <f>'Web Test Cases'!B54</f>
        <v>SC-011</v>
      </c>
      <c r="D54" s="29" t="str">
        <f>'Web Test Cases'!L54</f>
        <v>Pass</v>
      </c>
      <c r="E54" s="31"/>
      <c r="F54" s="31"/>
      <c r="G54" s="31"/>
      <c r="H54" s="31"/>
      <c r="I54" s="31"/>
      <c r="J54" s="31" t="s">
        <v>1141</v>
      </c>
      <c r="K54" s="31"/>
      <c r="L54" s="31"/>
      <c r="M54" s="31"/>
      <c r="N54" s="31"/>
      <c r="O54" s="31"/>
      <c r="P54" s="31"/>
      <c r="Q54" s="31"/>
      <c r="R54" s="31"/>
      <c r="S54" s="31"/>
      <c r="T54" s="31"/>
      <c r="U54" s="31"/>
      <c r="V54" s="31"/>
      <c r="W54" s="31"/>
      <c r="X54" s="31"/>
    </row>
    <row r="55" spans="1:24" ht="35.25" customHeight="1" x14ac:dyDescent="0.3">
      <c r="A55" s="29" t="str">
        <f>'Web Test Cases'!A55</f>
        <v>TC_PDP_POS_005</v>
      </c>
      <c r="B55" s="30" t="str">
        <f>'Web Test Cases'!D55</f>
        <v>Rəng variantı dəyişəndə məhsul məlumatları yenilənir</v>
      </c>
      <c r="C55" s="29" t="str">
        <f>'Web Test Cases'!B55</f>
        <v>SC-011</v>
      </c>
      <c r="D55" s="29" t="str">
        <f>'Web Test Cases'!L55</f>
        <v>Pass</v>
      </c>
      <c r="E55" s="31"/>
      <c r="F55" s="31"/>
      <c r="G55" s="31"/>
      <c r="H55" s="31"/>
      <c r="I55" s="31"/>
      <c r="J55" s="31" t="s">
        <v>1141</v>
      </c>
      <c r="K55" s="31"/>
      <c r="L55" s="31"/>
      <c r="M55" s="31"/>
      <c r="N55" s="31"/>
      <c r="O55" s="31"/>
      <c r="P55" s="31"/>
      <c r="Q55" s="31"/>
      <c r="R55" s="31"/>
      <c r="S55" s="31"/>
      <c r="T55" s="31"/>
      <c r="U55" s="31"/>
      <c r="V55" s="31"/>
      <c r="W55" s="31"/>
      <c r="X55" s="31"/>
    </row>
    <row r="56" spans="1:24" ht="35.25" customHeight="1" x14ac:dyDescent="0.3">
      <c r="A56" s="29" t="str">
        <f>'Web Test Cases'!A56</f>
        <v>TC_PDP_BVA_006</v>
      </c>
      <c r="B56" s="30" t="str">
        <f>'Web Test Cases'!D56</f>
        <v>Miqdar 1-dən aşağı enmir, '+' ilə artır</v>
      </c>
      <c r="C56" s="29" t="str">
        <f>'Web Test Cases'!B56</f>
        <v>SC-011</v>
      </c>
      <c r="D56" s="29" t="str">
        <f>'Web Test Cases'!L56</f>
        <v>Pass</v>
      </c>
      <c r="E56" s="31"/>
      <c r="F56" s="31"/>
      <c r="G56" s="31"/>
      <c r="H56" s="31"/>
      <c r="I56" s="31"/>
      <c r="J56" s="31" t="s">
        <v>1141</v>
      </c>
      <c r="K56" s="31"/>
      <c r="L56" s="31"/>
      <c r="M56" s="31"/>
      <c r="N56" s="31"/>
      <c r="O56" s="31"/>
      <c r="P56" s="31"/>
      <c r="Q56" s="31"/>
      <c r="R56" s="31"/>
      <c r="S56" s="31" t="s">
        <v>1141</v>
      </c>
      <c r="T56" s="31"/>
      <c r="U56" s="31"/>
      <c r="V56" s="31"/>
      <c r="W56" s="31"/>
      <c r="X56" s="31"/>
    </row>
    <row r="57" spans="1:24" ht="35.25" customHeight="1" x14ac:dyDescent="0.3">
      <c r="A57" s="29" t="str">
        <f>'Web Test Cases'!A57</f>
        <v>TC_PDP_BVA_007</v>
      </c>
      <c r="B57" s="30" t="str">
        <f>'Web Test Cases'!D57</f>
        <v>Miqdarın yuxarı həddi stok/limitlə məhdudlaşır</v>
      </c>
      <c r="C57" s="29" t="str">
        <f>'Web Test Cases'!B57</f>
        <v>SC-011</v>
      </c>
      <c r="D57" s="29" t="str">
        <f>'Web Test Cases'!L57</f>
        <v>Pass</v>
      </c>
      <c r="E57" s="31"/>
      <c r="F57" s="31"/>
      <c r="G57" s="31"/>
      <c r="H57" s="31"/>
      <c r="I57" s="31"/>
      <c r="J57" s="31" t="s">
        <v>1141</v>
      </c>
      <c r="K57" s="31"/>
      <c r="L57" s="31"/>
      <c r="M57" s="31"/>
      <c r="N57" s="31"/>
      <c r="O57" s="31"/>
      <c r="P57" s="31"/>
      <c r="Q57" s="31"/>
      <c r="R57" s="31"/>
      <c r="S57" s="31" t="s">
        <v>1141</v>
      </c>
      <c r="T57" s="31"/>
      <c r="U57" s="31"/>
      <c r="V57" s="31"/>
      <c r="W57" s="31"/>
      <c r="X57" s="31"/>
    </row>
    <row r="58" spans="1:24" ht="35.25" customHeight="1" x14ac:dyDescent="0.3">
      <c r="A58" s="29" t="str">
        <f>'Web Test Cases'!A58</f>
        <v>TC_PDP_POS_008</v>
      </c>
      <c r="B58" s="30" t="str">
        <f>'Web Test Cases'!D58</f>
        <v>Qoruma proqramı seçimi göstərilən məbləğə təsir edir</v>
      </c>
      <c r="C58" s="29" t="str">
        <f>'Web Test Cases'!B58</f>
        <v>SC-011</v>
      </c>
      <c r="D58" s="29" t="str">
        <f>'Web Test Cases'!L58</f>
        <v>Pass</v>
      </c>
      <c r="E58" s="31"/>
      <c r="F58" s="31"/>
      <c r="G58" s="31"/>
      <c r="H58" s="31"/>
      <c r="I58" s="31"/>
      <c r="J58" s="31" t="s">
        <v>1141</v>
      </c>
      <c r="K58" s="31"/>
      <c r="L58" s="31"/>
      <c r="M58" s="31"/>
      <c r="N58" s="31"/>
      <c r="O58" s="31"/>
      <c r="P58" s="31"/>
      <c r="Q58" s="31"/>
      <c r="R58" s="31"/>
      <c r="S58" s="31" t="s">
        <v>1141</v>
      </c>
      <c r="T58" s="31"/>
      <c r="U58" s="31"/>
      <c r="V58" s="31"/>
      <c r="W58" s="31"/>
      <c r="X58" s="31"/>
    </row>
    <row r="59" spans="1:24" ht="35.25" customHeight="1" x14ac:dyDescent="0.3">
      <c r="A59" s="29" t="str">
        <f>'Web Test Cases'!A59</f>
        <v>TC_PDP_POS_009</v>
      </c>
      <c r="B59" s="30" t="str">
        <f>'Web Test Cases'!D59</f>
        <v>'1 kliklə al' formasında səhv formatlı telefon nömrəsi yazıldıqda sahənin altında xəta mesajı göstərilir (göndərmədən)</v>
      </c>
      <c r="C59" s="29" t="str">
        <f>'Web Test Cases'!B59</f>
        <v>SC-011</v>
      </c>
      <c r="D59" s="29" t="str">
        <f>'Web Test Cases'!L59</f>
        <v>Pass</v>
      </c>
      <c r="E59" s="31"/>
      <c r="F59" s="31"/>
      <c r="G59" s="31"/>
      <c r="H59" s="31"/>
      <c r="I59" s="31"/>
      <c r="J59" s="31" t="s">
        <v>1141</v>
      </c>
      <c r="K59" s="31"/>
      <c r="L59" s="31"/>
      <c r="M59" s="31"/>
      <c r="N59" s="31"/>
      <c r="O59" s="31"/>
      <c r="P59" s="31"/>
      <c r="Q59" s="31"/>
      <c r="R59" s="31"/>
      <c r="S59" s="31" t="s">
        <v>1141</v>
      </c>
      <c r="T59" s="31"/>
      <c r="U59" s="31"/>
      <c r="V59" s="31"/>
      <c r="W59" s="31"/>
      <c r="X59" s="31"/>
    </row>
    <row r="60" spans="1:24" ht="35.25" customHeight="1" x14ac:dyDescent="0.3">
      <c r="A60" s="29" t="str">
        <f>'Web Test Cases'!A60</f>
        <v>TC_PDP_POS_010</v>
      </c>
      <c r="B60" s="30" t="str">
        <f>'Web Test Cases'!D60</f>
        <v>Variant (yaddaş və rəng) seçildikdən sonra səhifə yeniləndikdə seçilmiş variant, URL və qiymət saxlanılır</v>
      </c>
      <c r="C60" s="29" t="str">
        <f>'Web Test Cases'!B60</f>
        <v>SC-011</v>
      </c>
      <c r="D60" s="29" t="str">
        <f>'Web Test Cases'!L60</f>
        <v>Pass</v>
      </c>
      <c r="E60" s="31"/>
      <c r="F60" s="31"/>
      <c r="G60" s="31"/>
      <c r="H60" s="31"/>
      <c r="I60" s="31"/>
      <c r="J60" s="31" t="s">
        <v>1141</v>
      </c>
      <c r="K60" s="31"/>
      <c r="L60" s="31"/>
      <c r="M60" s="31"/>
      <c r="N60" s="31"/>
      <c r="O60" s="31"/>
      <c r="P60" s="31"/>
      <c r="Q60" s="31"/>
      <c r="R60" s="31"/>
      <c r="S60" s="31"/>
      <c r="T60" s="31"/>
      <c r="U60" s="31"/>
      <c r="V60" s="31"/>
      <c r="W60" s="31"/>
      <c r="X60" s="31"/>
    </row>
    <row r="61" spans="1:24" ht="35.25" customHeight="1" x14ac:dyDescent="0.3">
      <c r="A61" s="29" t="str">
        <f>'Web Test Cases'!A61</f>
        <v>TC_PDP_POS_011</v>
      </c>
      <c r="B61" s="30" t="str">
        <f>'Web Test Cases'!D61</f>
        <v>Stokda olmayan məhsul alına bilmir</v>
      </c>
      <c r="C61" s="29" t="str">
        <f>'Web Test Cases'!B61</f>
        <v>SC-012</v>
      </c>
      <c r="D61" s="29" t="str">
        <f>'Web Test Cases'!L61</f>
        <v>Pass</v>
      </c>
      <c r="E61" s="31"/>
      <c r="F61" s="31"/>
      <c r="G61" s="31"/>
      <c r="H61" s="31"/>
      <c r="I61" s="31"/>
      <c r="J61" s="31"/>
      <c r="K61" s="31"/>
      <c r="L61" s="31"/>
      <c r="M61" s="31"/>
      <c r="N61" s="31"/>
      <c r="O61" s="31" t="s">
        <v>1141</v>
      </c>
      <c r="P61" s="31"/>
      <c r="Q61" s="31"/>
      <c r="R61" s="31"/>
      <c r="S61" s="31"/>
      <c r="T61" s="31"/>
      <c r="U61" s="31"/>
      <c r="V61" s="31"/>
      <c r="W61" s="31"/>
      <c r="X61" s="31"/>
    </row>
    <row r="62" spans="1:24" ht="35.25" customHeight="1" x14ac:dyDescent="0.3">
      <c r="A62" s="29" t="str">
        <f>'Web Test Cases'!A62</f>
        <v>TC_PDP_UI_012</v>
      </c>
      <c r="B62" s="30" t="str">
        <f>'Web Test Cases'!D62</f>
        <v>Stokda olmayan məhsul üçün düymə mətnləri listing və PDP-də eynidir</v>
      </c>
      <c r="C62" s="29" t="str">
        <f>'Web Test Cases'!B62</f>
        <v>SC-012</v>
      </c>
      <c r="D62" s="29" t="str">
        <f>'Web Test Cases'!L62</f>
        <v>Pass</v>
      </c>
      <c r="E62" s="31"/>
      <c r="F62" s="31"/>
      <c r="G62" s="31"/>
      <c r="H62" s="31"/>
      <c r="I62" s="31"/>
      <c r="J62" s="31"/>
      <c r="K62" s="31"/>
      <c r="L62" s="31"/>
      <c r="M62" s="31"/>
      <c r="N62" s="31"/>
      <c r="O62" s="31" t="s">
        <v>1141</v>
      </c>
      <c r="P62" s="31"/>
      <c r="Q62" s="31"/>
      <c r="R62" s="31"/>
      <c r="S62" s="31"/>
      <c r="T62" s="31"/>
      <c r="U62" s="31"/>
      <c r="V62" s="31"/>
      <c r="W62" s="31"/>
      <c r="X62" s="31"/>
    </row>
    <row r="63" spans="1:24" ht="35.25" customHeight="1" x14ac:dyDescent="0.3">
      <c r="A63" s="29" t="str">
        <f>'Web Test Cases'!A63</f>
        <v>TC_FIN_POS_001</v>
      </c>
      <c r="B63" s="30" t="str">
        <f>'Web Test Cases'!D63</f>
        <v>'Bütün proqramlara baxın' 'Taksitlə alış' pəncərəsini PDP-dəki məhsulla açır</v>
      </c>
      <c r="C63" s="29" t="str">
        <f>'Web Test Cases'!B63</f>
        <v>SC-013</v>
      </c>
      <c r="D63" s="29" t="str">
        <f>'Web Test Cases'!L63</f>
        <v>Pass</v>
      </c>
      <c r="E63" s="31"/>
      <c r="F63" s="31"/>
      <c r="G63" s="31"/>
      <c r="H63" s="31"/>
      <c r="I63" s="31"/>
      <c r="J63" s="31"/>
      <c r="K63" s="31"/>
      <c r="L63" s="31"/>
      <c r="M63" s="31"/>
      <c r="N63" s="31"/>
      <c r="O63" s="31"/>
      <c r="P63" s="31"/>
      <c r="Q63" s="31"/>
      <c r="R63" s="31"/>
      <c r="S63" s="31"/>
      <c r="T63" s="31"/>
      <c r="U63" s="31" t="s">
        <v>1141</v>
      </c>
      <c r="V63" s="31"/>
      <c r="W63" s="31"/>
      <c r="X63" s="31"/>
    </row>
    <row r="64" spans="1:24" ht="35.25" customHeight="1" x14ac:dyDescent="0.3">
      <c r="A64" s="29" t="str">
        <f>'Web Test Cases'!A64</f>
        <v>TC_FIN_POS_002</v>
      </c>
      <c r="B64" s="30" t="str">
        <f>'Web Test Cases'!D64</f>
        <v>PDP-dəki aylıq ödəniş pəncərədəki müddət və tərəfdaş məbləği ilə eynidir</v>
      </c>
      <c r="C64" s="29" t="str">
        <f>'Web Test Cases'!B64</f>
        <v>SC-013</v>
      </c>
      <c r="D64" s="29" t="str">
        <f>'Web Test Cases'!L64</f>
        <v>Pass</v>
      </c>
      <c r="E64" s="31"/>
      <c r="F64" s="31"/>
      <c r="G64" s="31"/>
      <c r="H64" s="31"/>
      <c r="I64" s="31"/>
      <c r="J64" s="31"/>
      <c r="K64" s="31"/>
      <c r="L64" s="31" t="s">
        <v>1141</v>
      </c>
      <c r="M64" s="31" t="s">
        <v>1141</v>
      </c>
      <c r="N64" s="31"/>
      <c r="O64" s="31"/>
      <c r="P64" s="31"/>
      <c r="Q64" s="31"/>
      <c r="R64" s="31"/>
      <c r="S64" s="31"/>
      <c r="T64" s="31"/>
      <c r="U64" s="31"/>
      <c r="V64" s="31"/>
      <c r="W64" s="31"/>
      <c r="X64" s="31"/>
    </row>
    <row r="65" spans="1:24" ht="35.25" customHeight="1" x14ac:dyDescent="0.3">
      <c r="A65" s="29" t="str">
        <f>'Web Test Cases'!A65</f>
        <v>TC_FIN_POS_003</v>
      </c>
      <c r="B65" s="30" t="str">
        <f>'Web Test Cases'!D65</f>
        <v>Hər tərəfdaş üçün 'aylıq × ödəniş sayı' 'Ümumi ödəniş məbləği'nə bərabərdir</v>
      </c>
      <c r="C65" s="29" t="str">
        <f>'Web Test Cases'!B65</f>
        <v>SC-013</v>
      </c>
      <c r="D65" s="29" t="str">
        <f>'Web Test Cases'!L65</f>
        <v>Fail</v>
      </c>
      <c r="E65" s="31"/>
      <c r="F65" s="31"/>
      <c r="G65" s="31"/>
      <c r="H65" s="31"/>
      <c r="I65" s="31"/>
      <c r="J65" s="31"/>
      <c r="K65" s="31"/>
      <c r="L65" s="31" t="s">
        <v>1141</v>
      </c>
      <c r="M65" s="31"/>
      <c r="N65" s="31"/>
      <c r="O65" s="31"/>
      <c r="P65" s="31"/>
      <c r="Q65" s="31"/>
      <c r="R65" s="31"/>
      <c r="S65" s="31"/>
      <c r="T65" s="31"/>
      <c r="U65" s="31" t="s">
        <v>1141</v>
      </c>
      <c r="V65" s="31"/>
      <c r="W65" s="31"/>
      <c r="X65" s="31"/>
    </row>
    <row r="66" spans="1:24" ht="35.25" customHeight="1" x14ac:dyDescent="0.3">
      <c r="A66" s="29" t="str">
        <f>'Web Test Cases'!A66</f>
        <v>TC_FIN_POS_004</v>
      </c>
      <c r="B66" s="30" t="str">
        <f>'Web Test Cases'!D66</f>
        <v>0% tərəfdaşda ümumi məbləğ qiymətə bərabərdir, faizlidə əlavə xərc görünür</v>
      </c>
      <c r="C66" s="29" t="str">
        <f>'Web Test Cases'!B66</f>
        <v>SC-013</v>
      </c>
      <c r="D66" s="29" t="str">
        <f>'Web Test Cases'!L66</f>
        <v>Pass</v>
      </c>
      <c r="E66" s="31"/>
      <c r="F66" s="31"/>
      <c r="G66" s="31"/>
      <c r="H66" s="31"/>
      <c r="I66" s="31"/>
      <c r="J66" s="31"/>
      <c r="K66" s="31"/>
      <c r="L66" s="31"/>
      <c r="M66" s="31"/>
      <c r="N66" s="31"/>
      <c r="O66" s="31"/>
      <c r="P66" s="31"/>
      <c r="Q66" s="31"/>
      <c r="R66" s="31"/>
      <c r="S66" s="31"/>
      <c r="T66" s="31"/>
      <c r="U66" s="31" t="s">
        <v>1141</v>
      </c>
      <c r="V66" s="31"/>
      <c r="W66" s="31"/>
      <c r="X66" s="31"/>
    </row>
    <row r="67" spans="1:24" ht="35.25" customHeight="1" x14ac:dyDescent="0.3">
      <c r="A67" s="29" t="str">
        <f>'Web Test Cases'!A67</f>
        <v>TC_FIN_BVA_005</v>
      </c>
      <c r="B67" s="30" t="str">
        <f>'Web Test Cases'!D67</f>
        <v>Bütün müddət düymələrində aylıq məbləğ yuvarlaqlaşdırması ardıcıldır</v>
      </c>
      <c r="C67" s="29" t="str">
        <f>'Web Test Cases'!B67</f>
        <v>SC-013</v>
      </c>
      <c r="D67" s="29" t="str">
        <f>'Web Test Cases'!L67</f>
        <v>Fail</v>
      </c>
      <c r="E67" s="31"/>
      <c r="F67" s="31"/>
      <c r="G67" s="31"/>
      <c r="H67" s="31"/>
      <c r="I67" s="31"/>
      <c r="J67" s="31"/>
      <c r="K67" s="31"/>
      <c r="L67" s="31" t="s">
        <v>1141</v>
      </c>
      <c r="M67" s="31"/>
      <c r="N67" s="31"/>
      <c r="O67" s="31"/>
      <c r="P67" s="31"/>
      <c r="Q67" s="31"/>
      <c r="R67" s="31"/>
      <c r="S67" s="31"/>
      <c r="T67" s="31"/>
      <c r="U67" s="31" t="s">
        <v>1141</v>
      </c>
      <c r="V67" s="31"/>
      <c r="W67" s="31"/>
      <c r="X67" s="31"/>
    </row>
    <row r="68" spans="1:24" ht="35.25" customHeight="1" x14ac:dyDescent="0.3">
      <c r="A68" s="29" t="str">
        <f>'Web Test Cases'!A68</f>
        <v>TC_FIN_BVA_006</v>
      </c>
      <c r="B68" s="30" t="str">
        <f>'Web Test Cases'!D68</f>
        <v>iPhone keyslərindən ən ucuzunda (9 ₼) taksitin aylıq məbləği × ay sayı məhsulun qiymətindən çox olmur</v>
      </c>
      <c r="C68" s="29" t="str">
        <f>'Web Test Cases'!B68</f>
        <v>SC-013</v>
      </c>
      <c r="D68" s="29" t="str">
        <f>'Web Test Cases'!L68</f>
        <v>Fail</v>
      </c>
      <c r="E68" s="31"/>
      <c r="F68" s="31"/>
      <c r="G68" s="31"/>
      <c r="H68" s="31"/>
      <c r="I68" s="31"/>
      <c r="J68" s="31"/>
      <c r="K68" s="31"/>
      <c r="L68" s="31" t="s">
        <v>1141</v>
      </c>
      <c r="M68" s="31"/>
      <c r="N68" s="31"/>
      <c r="O68" s="31"/>
      <c r="P68" s="31"/>
      <c r="Q68" s="31"/>
      <c r="R68" s="31"/>
      <c r="S68" s="31"/>
      <c r="T68" s="31"/>
      <c r="U68" s="31" t="s">
        <v>1141</v>
      </c>
      <c r="V68" s="31"/>
      <c r="W68" s="31"/>
      <c r="X68" s="31"/>
    </row>
    <row r="69" spans="1:24" ht="35.25" customHeight="1" x14ac:dyDescent="0.3">
      <c r="A69" s="29" t="str">
        <f>'Web Test Cases'!A69</f>
        <v>TC_FIN_EDGE_007</v>
      </c>
      <c r="B69" s="30" t="str">
        <f>'Web Test Cases'!D69</f>
        <v>Müddət düyməsindəki məbləğin hansı tərəfdaşa aid olduğu aydındır</v>
      </c>
      <c r="C69" s="29" t="str">
        <f>'Web Test Cases'!B69</f>
        <v>SC-013</v>
      </c>
      <c r="D69" s="29" t="str">
        <f>'Web Test Cases'!L69</f>
        <v>Fail</v>
      </c>
      <c r="E69" s="31"/>
      <c r="F69" s="31"/>
      <c r="G69" s="31"/>
      <c r="H69" s="31"/>
      <c r="I69" s="31"/>
      <c r="J69" s="31"/>
      <c r="K69" s="31"/>
      <c r="L69" s="31" t="s">
        <v>1141</v>
      </c>
      <c r="M69" s="31"/>
      <c r="N69" s="31"/>
      <c r="O69" s="31"/>
      <c r="P69" s="31"/>
      <c r="Q69" s="31"/>
      <c r="R69" s="31"/>
      <c r="S69" s="31"/>
      <c r="T69" s="31"/>
      <c r="U69" s="31" t="s">
        <v>1141</v>
      </c>
      <c r="V69" s="31"/>
      <c r="W69" s="31"/>
      <c r="X69" s="31"/>
    </row>
    <row r="70" spans="1:24" ht="35.25" customHeight="1" x14ac:dyDescent="0.3">
      <c r="A70" s="29" t="str">
        <f>'Web Test Cases'!A70</f>
        <v>TC_FIN_EDGE_008</v>
      </c>
      <c r="B70" s="30" t="str">
        <f>'Web Test Cases'!D70</f>
        <v>Endirimli məhsulun taksit pəncərəsində hər müddət üçün 'aylıq × ay sayı' endirimli qiymətə bərabərdir</v>
      </c>
      <c r="C70" s="29" t="str">
        <f>'Web Test Cases'!B70</f>
        <v>SC-013</v>
      </c>
      <c r="D70" s="29" t="str">
        <f>'Web Test Cases'!L70</f>
        <v>Fail</v>
      </c>
      <c r="E70" s="31"/>
      <c r="F70" s="31"/>
      <c r="G70" s="31"/>
      <c r="H70" s="31"/>
      <c r="I70" s="31"/>
      <c r="J70" s="31"/>
      <c r="K70" s="31"/>
      <c r="L70" s="31"/>
      <c r="M70" s="31"/>
      <c r="N70" s="31"/>
      <c r="O70" s="31"/>
      <c r="P70" s="31"/>
      <c r="Q70" s="31"/>
      <c r="R70" s="31"/>
      <c r="S70" s="31"/>
      <c r="T70" s="31"/>
      <c r="U70" s="31" t="s">
        <v>1141</v>
      </c>
      <c r="V70" s="31"/>
      <c r="W70" s="31"/>
      <c r="X70" s="31"/>
    </row>
    <row r="71" spans="1:24" ht="35.25" customHeight="1" x14ac:dyDescent="0.3">
      <c r="A71" s="29" t="str">
        <f>'Web Test Cases'!A71</f>
        <v>TC_FIN_POS_009</v>
      </c>
      <c r="B71" s="30" t="str">
        <f>'Web Test Cases'!D71</f>
        <v>Müddət düyməsi dəyişdikdə tərəfdaş məbləğləri və 'Ödəmək' yenilənir</v>
      </c>
      <c r="C71" s="29" t="str">
        <f>'Web Test Cases'!B71</f>
        <v>SC-014</v>
      </c>
      <c r="D71" s="29" t="str">
        <f>'Web Test Cases'!L71</f>
        <v>Pass</v>
      </c>
      <c r="E71" s="31"/>
      <c r="F71" s="31"/>
      <c r="G71" s="31"/>
      <c r="H71" s="31"/>
      <c r="I71" s="31"/>
      <c r="J71" s="31"/>
      <c r="K71" s="31"/>
      <c r="L71" s="31"/>
      <c r="M71" s="31"/>
      <c r="N71" s="31"/>
      <c r="O71" s="31"/>
      <c r="P71" s="31"/>
      <c r="Q71" s="31"/>
      <c r="R71" s="31"/>
      <c r="S71" s="31"/>
      <c r="T71" s="31"/>
      <c r="U71" s="31" t="s">
        <v>1141</v>
      </c>
      <c r="V71" s="31"/>
      <c r="W71" s="31"/>
      <c r="X71" s="31"/>
    </row>
    <row r="72" spans="1:24" ht="35.25" customHeight="1" x14ac:dyDescent="0.3">
      <c r="A72" s="29" t="str">
        <f>'Web Test Cases'!A72</f>
        <v>TC_FIN_POS_010</v>
      </c>
      <c r="B72" s="30" t="str">
        <f>'Web Test Cases'!D72</f>
        <v>Tərəfdaş dəyişdikdə 'Ödəmək' və seçim məlumatı uyğun dəyişir</v>
      </c>
      <c r="C72" s="29" t="str">
        <f>'Web Test Cases'!B72</f>
        <v>SC-014</v>
      </c>
      <c r="D72" s="29" t="str">
        <f>'Web Test Cases'!L72</f>
        <v>Pass</v>
      </c>
      <c r="E72" s="31"/>
      <c r="F72" s="31"/>
      <c r="G72" s="31"/>
      <c r="H72" s="31"/>
      <c r="I72" s="31"/>
      <c r="J72" s="31"/>
      <c r="K72" s="31"/>
      <c r="L72" s="31"/>
      <c r="M72" s="31"/>
      <c r="N72" s="31"/>
      <c r="O72" s="31"/>
      <c r="P72" s="31"/>
      <c r="Q72" s="31"/>
      <c r="R72" s="31"/>
      <c r="S72" s="31"/>
      <c r="T72" s="31"/>
      <c r="U72" s="31" t="s">
        <v>1141</v>
      </c>
      <c r="V72" s="31"/>
      <c r="W72" s="31"/>
      <c r="X72" s="31"/>
    </row>
    <row r="73" spans="1:24" ht="35.25" customHeight="1" x14ac:dyDescent="0.3">
      <c r="A73" s="29" t="str">
        <f>'Web Test Cases'!A73</f>
        <v>TC_FIN_POS_011</v>
      </c>
      <c r="B73" s="30" t="str">
        <f>'Web Test Cases'!D73</f>
        <v>Variant dəyişdikdə pəncərədə köhnə qiymətin məbləğləri qalmır</v>
      </c>
      <c r="C73" s="29" t="str">
        <f>'Web Test Cases'!B73</f>
        <v>SC-014</v>
      </c>
      <c r="D73" s="29" t="str">
        <f>'Web Test Cases'!L73</f>
        <v>Pass</v>
      </c>
      <c r="E73" s="31"/>
      <c r="F73" s="31"/>
      <c r="G73" s="31"/>
      <c r="H73" s="31"/>
      <c r="I73" s="31"/>
      <c r="J73" s="31" t="s">
        <v>1141</v>
      </c>
      <c r="K73" s="31"/>
      <c r="L73" s="31"/>
      <c r="M73" s="31"/>
      <c r="N73" s="31"/>
      <c r="O73" s="31"/>
      <c r="P73" s="31"/>
      <c r="Q73" s="31"/>
      <c r="R73" s="31"/>
      <c r="S73" s="31"/>
      <c r="T73" s="31"/>
      <c r="U73" s="31"/>
      <c r="V73" s="31"/>
      <c r="W73" s="31"/>
      <c r="X73" s="31"/>
    </row>
    <row r="74" spans="1:24" ht="35.25" customHeight="1" x14ac:dyDescent="0.3">
      <c r="A74" s="29" t="str">
        <f>'Web Test Cases'!A74</f>
        <v>TC_FIN_POS_012</v>
      </c>
      <c r="B74" s="30" t="str">
        <f>'Web Test Cases'!D74</f>
        <v>Pəncərədə qoruma proqramı seçimi 'Ödəmək' və taksit məbləğlərini yeniləyir, ləğv bərpa edir</v>
      </c>
      <c r="C74" s="29" t="str">
        <f>'Web Test Cases'!B74</f>
        <v>SC-014</v>
      </c>
      <c r="D74" s="29" t="str">
        <f>'Web Test Cases'!L74</f>
        <v>Pass</v>
      </c>
      <c r="E74" s="31"/>
      <c r="F74" s="31"/>
      <c r="G74" s="31"/>
      <c r="H74" s="31"/>
      <c r="I74" s="31"/>
      <c r="J74" s="31"/>
      <c r="K74" s="31"/>
      <c r="L74" s="31"/>
      <c r="M74" s="31"/>
      <c r="N74" s="31"/>
      <c r="O74" s="31"/>
      <c r="P74" s="31"/>
      <c r="Q74" s="31"/>
      <c r="R74" s="31"/>
      <c r="S74" s="31"/>
      <c r="T74" s="31"/>
      <c r="U74" s="31" t="s">
        <v>1141</v>
      </c>
      <c r="V74" s="31"/>
      <c r="W74" s="31"/>
      <c r="X74" s="31"/>
    </row>
    <row r="75" spans="1:24" ht="35.25" customHeight="1" x14ac:dyDescent="0.3">
      <c r="A75" s="29" t="str">
        <f>'Web Test Cases'!A75</f>
        <v>TC_FIN_BVA_013</v>
      </c>
      <c r="B75" s="30" t="str">
        <f>'Web Test Cases'!D75</f>
        <v>Pəncərədəki miqdar dəyişdikdə qiymət və taksitlər yenilənir</v>
      </c>
      <c r="C75" s="29" t="str">
        <f>'Web Test Cases'!B75</f>
        <v>SC-014</v>
      </c>
      <c r="D75" s="29" t="str">
        <f>'Web Test Cases'!L75</f>
        <v>Pass</v>
      </c>
      <c r="E75" s="31"/>
      <c r="F75" s="31"/>
      <c r="G75" s="31"/>
      <c r="H75" s="31"/>
      <c r="I75" s="31"/>
      <c r="J75" s="31"/>
      <c r="K75" s="31"/>
      <c r="L75" s="31"/>
      <c r="M75" s="31"/>
      <c r="N75" s="31"/>
      <c r="O75" s="31"/>
      <c r="P75" s="31"/>
      <c r="Q75" s="31"/>
      <c r="R75" s="31"/>
      <c r="S75" s="31" t="s">
        <v>1141</v>
      </c>
      <c r="T75" s="31"/>
      <c r="U75" s="31"/>
      <c r="V75" s="31"/>
      <c r="W75" s="31"/>
      <c r="X75" s="31"/>
    </row>
    <row r="76" spans="1:24" ht="35.25" customHeight="1" x14ac:dyDescent="0.3">
      <c r="A76" s="29" t="str">
        <f>'Web Test Cases'!A76</f>
        <v>TC_FIN_EDGE_014</v>
      </c>
      <c r="B76" s="30" t="str">
        <f>'Web Test Cases'!D76</f>
        <v>Pəncərədə edilən seçimlər 'Almaq' ilə səbətə eynilə ötürülür, 'X' ilə heç nə dəyişmir</v>
      </c>
      <c r="C76" s="29" t="str">
        <f>'Web Test Cases'!B76</f>
        <v>SC-014</v>
      </c>
      <c r="D76" s="29" t="str">
        <f>'Web Test Cases'!L76</f>
        <v>Pass</v>
      </c>
      <c r="E76" s="31"/>
      <c r="F76" s="31"/>
      <c r="G76" s="31"/>
      <c r="H76" s="31"/>
      <c r="I76" s="31"/>
      <c r="J76" s="31"/>
      <c r="K76" s="31" t="s">
        <v>1141</v>
      </c>
      <c r="L76" s="31"/>
      <c r="M76" s="31"/>
      <c r="N76" s="31"/>
      <c r="O76" s="31"/>
      <c r="P76" s="31"/>
      <c r="Q76" s="31"/>
      <c r="R76" s="31"/>
      <c r="S76" s="31"/>
      <c r="T76" s="31"/>
      <c r="U76" s="31"/>
      <c r="V76" s="31"/>
      <c r="W76" s="31"/>
      <c r="X76" s="31"/>
    </row>
    <row r="77" spans="1:24" ht="35.25" customHeight="1" x14ac:dyDescent="0.3">
      <c r="A77" s="29" t="str">
        <f>'Web Test Cases'!A77</f>
        <v>TC_FIN_EDGE_015</v>
      </c>
      <c r="B77" s="30" t="str">
        <f>'Web Test Cases'!D77</f>
        <v>Taksit pəncərəsi bağlandıqda və 'Geri' basıldıqda məhsul səhifəsi ilkin vəziyyətdə qalır</v>
      </c>
      <c r="C77" s="29" t="str">
        <f>'Web Test Cases'!B77</f>
        <v>SC-014</v>
      </c>
      <c r="D77" s="29" t="str">
        <f>'Web Test Cases'!L77</f>
        <v>Pass</v>
      </c>
      <c r="E77" s="31"/>
      <c r="F77" s="31"/>
      <c r="G77" s="31"/>
      <c r="H77" s="31"/>
      <c r="I77" s="31"/>
      <c r="J77" s="31"/>
      <c r="K77" s="31"/>
      <c r="L77" s="31"/>
      <c r="M77" s="31"/>
      <c r="N77" s="31"/>
      <c r="O77" s="31"/>
      <c r="P77" s="31"/>
      <c r="Q77" s="31"/>
      <c r="R77" s="31"/>
      <c r="S77" s="31"/>
      <c r="T77" s="31"/>
      <c r="U77" s="31" t="s">
        <v>1141</v>
      </c>
      <c r="V77" s="31"/>
      <c r="W77" s="31"/>
      <c r="X77" s="31"/>
    </row>
    <row r="78" spans="1:24" ht="35.25" customHeight="1" x14ac:dyDescent="0.3">
      <c r="A78" s="29" t="str">
        <f>'Web Test Cases'!A78</f>
        <v>TC_FIN_POS_016</v>
      </c>
      <c r="B78" s="30" t="str">
        <f>'Web Test Cases'!D78</f>
        <v>Səbətdən açılan taksit pəncərəsində məhsul qiymətləri və 'Ödəmək' səbətdəki qiymətlər və 'Cəmi' ilə eynidir</v>
      </c>
      <c r="C78" s="29" t="str">
        <f>'Web Test Cases'!B78</f>
        <v>SC-014</v>
      </c>
      <c r="D78" s="29" t="str">
        <f>'Web Test Cases'!L78</f>
        <v>Fail</v>
      </c>
      <c r="E78" s="31"/>
      <c r="F78" s="31"/>
      <c r="G78" s="31"/>
      <c r="H78" s="31"/>
      <c r="I78" s="31"/>
      <c r="J78" s="31"/>
      <c r="K78" s="31" t="s">
        <v>1141</v>
      </c>
      <c r="L78" s="31"/>
      <c r="M78" s="31"/>
      <c r="N78" s="31"/>
      <c r="O78" s="31"/>
      <c r="P78" s="31"/>
      <c r="Q78" s="31"/>
      <c r="R78" s="31"/>
      <c r="S78" s="31"/>
      <c r="T78" s="31"/>
      <c r="U78" s="31" t="s">
        <v>1141</v>
      </c>
      <c r="V78" s="31"/>
      <c r="W78" s="31"/>
      <c r="X78" s="31"/>
    </row>
    <row r="79" spans="1:24" ht="35.25" customHeight="1" x14ac:dyDescent="0.3">
      <c r="A79" s="29" t="str">
        <f>'Web Test Cases'!A79</f>
        <v>TC_CART_POS_001</v>
      </c>
      <c r="B79" s="30" t="str">
        <f>'Web Test Cases'!D79</f>
        <v>Məhsul PDP-dən səbətə əlavə olunur</v>
      </c>
      <c r="C79" s="29" t="str">
        <f>'Web Test Cases'!B79</f>
        <v>SC-015</v>
      </c>
      <c r="D79" s="29" t="str">
        <f>'Web Test Cases'!L79</f>
        <v>Pass</v>
      </c>
      <c r="E79" s="31" t="s">
        <v>1141</v>
      </c>
      <c r="F79" s="31"/>
      <c r="G79" s="31"/>
      <c r="H79" s="31"/>
      <c r="I79" s="31"/>
      <c r="J79" s="31"/>
      <c r="K79" s="31" t="s">
        <v>1141</v>
      </c>
      <c r="L79" s="31"/>
      <c r="M79" s="31"/>
      <c r="N79" s="31"/>
      <c r="O79" s="31"/>
      <c r="P79" s="31"/>
      <c r="Q79" s="31"/>
      <c r="R79" s="31"/>
      <c r="S79" s="31"/>
      <c r="T79" s="31"/>
      <c r="U79" s="31"/>
      <c r="V79" s="31"/>
      <c r="W79" s="31"/>
      <c r="X79" s="31"/>
    </row>
    <row r="80" spans="1:24" ht="35.25" customHeight="1" x14ac:dyDescent="0.3">
      <c r="A80" s="29" t="str">
        <f>'Web Test Cases'!A80</f>
        <v>TC_CART_POS_002</v>
      </c>
      <c r="B80" s="30" t="str">
        <f>'Web Test Cases'!D80</f>
        <v>Məhsul listing kartından birbaşa səbətə əlavə olunur</v>
      </c>
      <c r="C80" s="29" t="str">
        <f>'Web Test Cases'!B80</f>
        <v>SC-015</v>
      </c>
      <c r="D80" s="29" t="str">
        <f>'Web Test Cases'!L80</f>
        <v>Pass</v>
      </c>
      <c r="E80" s="31"/>
      <c r="F80" s="31"/>
      <c r="G80" s="31"/>
      <c r="H80" s="31"/>
      <c r="I80" s="31"/>
      <c r="J80" s="31"/>
      <c r="K80" s="31" t="s">
        <v>1141</v>
      </c>
      <c r="L80" s="31"/>
      <c r="M80" s="31"/>
      <c r="N80" s="31"/>
      <c r="O80" s="31"/>
      <c r="P80" s="31"/>
      <c r="Q80" s="31"/>
      <c r="R80" s="31"/>
      <c r="S80" s="31"/>
      <c r="T80" s="31"/>
      <c r="U80" s="31"/>
      <c r="V80" s="31"/>
      <c r="W80" s="31"/>
      <c r="X80" s="31"/>
    </row>
    <row r="81" spans="1:24" ht="35.25" customHeight="1" x14ac:dyDescent="0.3">
      <c r="A81" s="29" t="str">
        <f>'Web Test Cases'!A81</f>
        <v>TC_CART_POS_003</v>
      </c>
      <c r="B81" s="30" t="str">
        <f>'Web Test Cases'!D81</f>
        <v>Eyni məhsul iki dəfə əlavə edildikdə bir sətirdə miqdar 2 və sətir cəmi = qiymət × 2 olur</v>
      </c>
      <c r="C81" s="29" t="str">
        <f>'Web Test Cases'!B81</f>
        <v>SC-015</v>
      </c>
      <c r="D81" s="29" t="str">
        <f>'Web Test Cases'!L81</f>
        <v>Pass</v>
      </c>
      <c r="E81" s="31"/>
      <c r="F81" s="31"/>
      <c r="G81" s="31"/>
      <c r="H81" s="31"/>
      <c r="I81" s="31"/>
      <c r="J81" s="31"/>
      <c r="K81" s="31" t="s">
        <v>1141</v>
      </c>
      <c r="L81" s="31"/>
      <c r="M81" s="31"/>
      <c r="N81" s="31"/>
      <c r="O81" s="31"/>
      <c r="P81" s="31"/>
      <c r="Q81" s="31"/>
      <c r="R81" s="31"/>
      <c r="S81" s="31"/>
      <c r="T81" s="31"/>
      <c r="U81" s="31"/>
      <c r="V81" s="31"/>
      <c r="W81" s="31"/>
      <c r="X81" s="31"/>
    </row>
    <row r="82" spans="1:24" ht="35.25" customHeight="1" x14ac:dyDescent="0.3">
      <c r="A82" s="29" t="str">
        <f>'Web Test Cases'!A82</f>
        <v>TC_CART_POS_004</v>
      </c>
      <c r="B82" s="30" t="str">
        <f>'Web Test Cases'!D82</f>
        <v>İki fərqli məhsul olduqda 'Cəmi' sətir məbləğlərinin cəminə bərabərdir</v>
      </c>
      <c r="C82" s="29" t="str">
        <f>'Web Test Cases'!B82</f>
        <v>SC-016</v>
      </c>
      <c r="D82" s="29" t="str">
        <f>'Web Test Cases'!L82</f>
        <v>Pass</v>
      </c>
      <c r="E82" s="31"/>
      <c r="F82" s="31"/>
      <c r="G82" s="31"/>
      <c r="H82" s="31"/>
      <c r="I82" s="31"/>
      <c r="J82" s="31"/>
      <c r="K82" s="31" t="s">
        <v>1141</v>
      </c>
      <c r="L82" s="31"/>
      <c r="M82" s="31"/>
      <c r="N82" s="31"/>
      <c r="O82" s="31"/>
      <c r="P82" s="31"/>
      <c r="Q82" s="31"/>
      <c r="R82" s="31"/>
      <c r="S82" s="31"/>
      <c r="T82" s="31"/>
      <c r="U82" s="31"/>
      <c r="V82" s="31"/>
      <c r="W82" s="31"/>
      <c r="X82" s="31"/>
    </row>
    <row r="83" spans="1:24" ht="35.25" customHeight="1" x14ac:dyDescent="0.3">
      <c r="A83" s="29" t="str">
        <f>'Web Test Cases'!A83</f>
        <v>TC_CART_POS_005</v>
      </c>
      <c r="B83" s="30" t="str">
        <f>'Web Test Cases'!D83</f>
        <v>Səbətdə miqdar dəyişəndə sətir və ümumi cəm yenilənir</v>
      </c>
      <c r="C83" s="29" t="str">
        <f>'Web Test Cases'!B83</f>
        <v>SC-016</v>
      </c>
      <c r="D83" s="29" t="str">
        <f>'Web Test Cases'!L83</f>
        <v>Pass</v>
      </c>
      <c r="E83" s="31"/>
      <c r="F83" s="31"/>
      <c r="G83" s="31"/>
      <c r="H83" s="31"/>
      <c r="I83" s="31"/>
      <c r="J83" s="31"/>
      <c r="K83" s="31" t="s">
        <v>1141</v>
      </c>
      <c r="L83" s="31"/>
      <c r="M83" s="31"/>
      <c r="N83" s="31"/>
      <c r="O83" s="31"/>
      <c r="P83" s="31"/>
      <c r="Q83" s="31"/>
      <c r="R83" s="31"/>
      <c r="S83" s="31"/>
      <c r="T83" s="31"/>
      <c r="U83" s="31"/>
      <c r="V83" s="31"/>
      <c r="W83" s="31"/>
      <c r="X83" s="31"/>
    </row>
    <row r="84" spans="1:24" ht="35.25" customHeight="1" x14ac:dyDescent="0.3">
      <c r="A84" s="29" t="str">
        <f>'Web Test Cases'!A84</f>
        <v>TC_CART_BVA_006</v>
      </c>
      <c r="B84" s="30" t="str">
        <f>'Web Test Cases'!D84</f>
        <v>Səbətdə miqdar 1-dən aşağı enmir</v>
      </c>
      <c r="C84" s="29" t="str">
        <f>'Web Test Cases'!B84</f>
        <v>SC-016</v>
      </c>
      <c r="D84" s="29" t="str">
        <f>'Web Test Cases'!L84</f>
        <v>Pass</v>
      </c>
      <c r="E84" s="31"/>
      <c r="F84" s="31"/>
      <c r="G84" s="31"/>
      <c r="H84" s="31"/>
      <c r="I84" s="31"/>
      <c r="J84" s="31"/>
      <c r="K84" s="31" t="s">
        <v>1141</v>
      </c>
      <c r="L84" s="31"/>
      <c r="M84" s="31"/>
      <c r="N84" s="31"/>
      <c r="O84" s="31"/>
      <c r="P84" s="31"/>
      <c r="Q84" s="31"/>
      <c r="R84" s="31"/>
      <c r="S84" s="31"/>
      <c r="T84" s="31"/>
      <c r="U84" s="31"/>
      <c r="V84" s="31"/>
      <c r="W84" s="31"/>
      <c r="X84" s="31"/>
    </row>
    <row r="85" spans="1:24" ht="35.25" customHeight="1" x14ac:dyDescent="0.3">
      <c r="A85" s="29" t="str">
        <f>'Web Test Cases'!A85</f>
        <v>TC_CART_POS_007</v>
      </c>
      <c r="B85" s="30" t="str">
        <f>'Web Test Cases'!D85</f>
        <v>Məhsul səbətdən silinir</v>
      </c>
      <c r="C85" s="29" t="str">
        <f>'Web Test Cases'!B85</f>
        <v>SC-016</v>
      </c>
      <c r="D85" s="29" t="str">
        <f>'Web Test Cases'!L85</f>
        <v>Pass</v>
      </c>
      <c r="E85" s="31"/>
      <c r="F85" s="31"/>
      <c r="G85" s="31"/>
      <c r="H85" s="31"/>
      <c r="I85" s="31"/>
      <c r="J85" s="31"/>
      <c r="K85" s="31" t="s">
        <v>1141</v>
      </c>
      <c r="L85" s="31"/>
      <c r="M85" s="31"/>
      <c r="N85" s="31"/>
      <c r="O85" s="31"/>
      <c r="P85" s="31"/>
      <c r="Q85" s="31"/>
      <c r="R85" s="31"/>
      <c r="S85" s="31"/>
      <c r="T85" s="31"/>
      <c r="U85" s="31"/>
      <c r="V85" s="31"/>
      <c r="W85" s="31"/>
      <c r="X85" s="31"/>
    </row>
    <row r="86" spans="1:24" ht="35.25" customHeight="1" x14ac:dyDescent="0.3">
      <c r="A86" s="29" t="str">
        <f>'Web Test Cases'!A86</f>
        <v>TC_CART_POS_008</v>
      </c>
      <c r="B86" s="30" t="str">
        <f>'Web Test Cases'!D86</f>
        <v>Sonuncu məhsul silinəndə boş səbət vəziyyəti göstərilir</v>
      </c>
      <c r="C86" s="29" t="str">
        <f>'Web Test Cases'!B86</f>
        <v>SC-016</v>
      </c>
      <c r="D86" s="29" t="str">
        <f>'Web Test Cases'!L86</f>
        <v>Pass</v>
      </c>
      <c r="E86" s="31"/>
      <c r="F86" s="31"/>
      <c r="G86" s="31"/>
      <c r="H86" s="31"/>
      <c r="I86" s="31"/>
      <c r="J86" s="31"/>
      <c r="K86" s="31" t="s">
        <v>1141</v>
      </c>
      <c r="L86" s="31"/>
      <c r="M86" s="31"/>
      <c r="N86" s="31"/>
      <c r="O86" s="31"/>
      <c r="P86" s="31"/>
      <c r="Q86" s="31"/>
      <c r="R86" s="31"/>
      <c r="S86" s="31"/>
      <c r="T86" s="31"/>
      <c r="U86" s="31"/>
      <c r="V86" s="31"/>
      <c r="W86" s="31"/>
      <c r="X86" s="31"/>
    </row>
    <row r="87" spans="1:24" ht="35.25" customHeight="1" x14ac:dyDescent="0.3">
      <c r="A87" s="29" t="str">
        <f>'Web Test Cases'!A87</f>
        <v>TC_CART_POS_009</v>
      </c>
      <c r="B87" s="30" t="str">
        <f>'Web Test Cases'!D87</f>
        <v>Qoruma proqramı ilə əlavə edilən məhsulda proqram ayrıca sətir kimi göstərilir və cəmə daxil olur</v>
      </c>
      <c r="C87" s="29" t="str">
        <f>'Web Test Cases'!B87</f>
        <v>SC-016</v>
      </c>
      <c r="D87" s="29" t="str">
        <f>'Web Test Cases'!L87</f>
        <v>Fail</v>
      </c>
      <c r="E87" s="31"/>
      <c r="F87" s="31"/>
      <c r="G87" s="31"/>
      <c r="H87" s="31"/>
      <c r="I87" s="31"/>
      <c r="J87" s="31"/>
      <c r="K87" s="31" t="s">
        <v>1141</v>
      </c>
      <c r="L87" s="31"/>
      <c r="M87" s="31"/>
      <c r="N87" s="31"/>
      <c r="O87" s="31"/>
      <c r="P87" s="31"/>
      <c r="Q87" s="31"/>
      <c r="R87" s="31"/>
      <c r="S87" s="31"/>
      <c r="T87" s="31"/>
      <c r="U87" s="31"/>
      <c r="V87" s="31"/>
      <c r="W87" s="31"/>
      <c r="X87" s="31"/>
    </row>
    <row r="88" spans="1:24" ht="35.25" customHeight="1" x14ac:dyDescent="0.3">
      <c r="A88" s="29" t="str">
        <f>'Web Test Cases'!A88</f>
        <v>TC_CART_POS_010</v>
      </c>
      <c r="B88" s="30" t="str">
        <f>'Web Test Cases'!D88</f>
        <v>Səbət səhifə yenilənəndə və yeni tabda qorunur</v>
      </c>
      <c r="C88" s="29" t="str">
        <f>'Web Test Cases'!B88</f>
        <v>SC-017</v>
      </c>
      <c r="D88" s="29" t="str">
        <f>'Web Test Cases'!L88</f>
        <v>Pass</v>
      </c>
      <c r="E88" s="31"/>
      <c r="F88" s="31"/>
      <c r="G88" s="31"/>
      <c r="H88" s="31"/>
      <c r="I88" s="31"/>
      <c r="J88" s="31"/>
      <c r="K88" s="31" t="s">
        <v>1141</v>
      </c>
      <c r="L88" s="31"/>
      <c r="M88" s="31"/>
      <c r="N88" s="31" t="s">
        <v>1141</v>
      </c>
      <c r="O88" s="31"/>
      <c r="P88" s="31"/>
      <c r="Q88" s="31"/>
      <c r="R88" s="31"/>
      <c r="S88" s="31"/>
      <c r="T88" s="31"/>
      <c r="U88" s="31"/>
      <c r="V88" s="31"/>
      <c r="W88" s="31"/>
      <c r="X88" s="31"/>
    </row>
    <row r="89" spans="1:24" ht="35.25" customHeight="1" x14ac:dyDescent="0.3">
      <c r="A89" s="29" t="str">
        <f>'Web Test Cases'!A89</f>
        <v>TC_CART_POS_011</v>
      </c>
      <c r="B89" s="30" t="str">
        <f>'Web Test Cases'!D89</f>
        <v>Dil dəyişəndə səbətin məzmunu qorunur</v>
      </c>
      <c r="C89" s="29" t="str">
        <f>'Web Test Cases'!B89</f>
        <v>SC-017</v>
      </c>
      <c r="D89" s="29" t="str">
        <f>'Web Test Cases'!L89</f>
        <v>Pass</v>
      </c>
      <c r="E89" s="31"/>
      <c r="F89" s="31"/>
      <c r="G89" s="31"/>
      <c r="H89" s="31"/>
      <c r="I89" s="31"/>
      <c r="J89" s="31"/>
      <c r="K89" s="31"/>
      <c r="L89" s="31"/>
      <c r="M89" s="31"/>
      <c r="N89" s="31" t="s">
        <v>1141</v>
      </c>
      <c r="O89" s="31"/>
      <c r="P89" s="31"/>
      <c r="Q89" s="31"/>
      <c r="R89" s="31"/>
      <c r="S89" s="31"/>
      <c r="T89" s="31"/>
      <c r="U89" s="31"/>
      <c r="V89" s="31"/>
      <c r="W89" s="31"/>
      <c r="X89" s="31"/>
    </row>
    <row r="90" spans="1:24" ht="35.25" customHeight="1" x14ac:dyDescent="0.3">
      <c r="A90" s="29" t="str">
        <f>'Web Test Cases'!A90</f>
        <v>TC_CART_POS_012</v>
      </c>
      <c r="B90" s="30" t="str">
        <f>'Web Test Cases'!D90</f>
        <v>Səbətdən checkout-a keçiddə məhsullar, qiymətlər və cəm eynilə ötürülür</v>
      </c>
      <c r="C90" s="29" t="str">
        <f>'Web Test Cases'!B90</f>
        <v>SC-017</v>
      </c>
      <c r="D90" s="29" t="str">
        <f>'Web Test Cases'!L90</f>
        <v>Pass</v>
      </c>
      <c r="E90" s="31"/>
      <c r="F90" s="31"/>
      <c r="G90" s="31"/>
      <c r="H90" s="31"/>
      <c r="I90" s="31"/>
      <c r="J90" s="31"/>
      <c r="K90" s="31" t="s">
        <v>1141</v>
      </c>
      <c r="L90" s="31"/>
      <c r="M90" s="31"/>
      <c r="N90" s="31" t="s">
        <v>1141</v>
      </c>
      <c r="O90" s="31"/>
      <c r="P90" s="31"/>
      <c r="Q90" s="31"/>
      <c r="R90" s="31"/>
      <c r="S90" s="31"/>
      <c r="T90" s="31"/>
      <c r="U90" s="31"/>
      <c r="V90" s="31"/>
      <c r="W90" s="31"/>
      <c r="X90" s="31"/>
    </row>
    <row r="91" spans="1:24" ht="35.25" customHeight="1" x14ac:dyDescent="0.3">
      <c r="A91" s="29" t="str">
        <f>'Web Test Cases'!A91</f>
        <v>TC_CART_EDGE_013</v>
      </c>
      <c r="B91" s="30" t="str">
        <f>'Web Test Cases'!D91</f>
        <v>İki tabda eyni səbət dəyişdirildikdə yeniləmədən sonra hər iki tab son vəziyyəti göstərir</v>
      </c>
      <c r="C91" s="29" t="str">
        <f>'Web Test Cases'!B91</f>
        <v>SC-018</v>
      </c>
      <c r="D91" s="29" t="str">
        <f>'Web Test Cases'!L91</f>
        <v>Pass</v>
      </c>
      <c r="E91" s="31"/>
      <c r="F91" s="31"/>
      <c r="G91" s="31"/>
      <c r="H91" s="31"/>
      <c r="I91" s="31"/>
      <c r="J91" s="31"/>
      <c r="K91" s="31" t="s">
        <v>1141</v>
      </c>
      <c r="L91" s="31"/>
      <c r="M91" s="31"/>
      <c r="N91" s="31"/>
      <c r="O91" s="31"/>
      <c r="P91" s="31"/>
      <c r="Q91" s="31"/>
      <c r="R91" s="31"/>
      <c r="S91" s="31" t="s">
        <v>1141</v>
      </c>
      <c r="T91" s="31"/>
      <c r="U91" s="31"/>
      <c r="V91" s="31"/>
      <c r="W91" s="31"/>
      <c r="X91" s="31"/>
    </row>
    <row r="92" spans="1:24" ht="35.25" customHeight="1" x14ac:dyDescent="0.3">
      <c r="A92" s="29" t="str">
        <f>'Web Test Cases'!A92</f>
        <v>TC_CART_EDGE_014</v>
      </c>
      <c r="B92" s="30" t="str">
        <f>'Web Test Cases'!D92</f>
        <v>Miqdar düyməsinə tez-tez klikdə sayğac, sətir və cəm uyğun qalır</v>
      </c>
      <c r="C92" s="29" t="str">
        <f>'Web Test Cases'!B92</f>
        <v>SC-018</v>
      </c>
      <c r="D92" s="29" t="str">
        <f>'Web Test Cases'!L92</f>
        <v>Pass</v>
      </c>
      <c r="E92" s="31"/>
      <c r="F92" s="31"/>
      <c r="G92" s="31"/>
      <c r="H92" s="31"/>
      <c r="I92" s="31"/>
      <c r="J92" s="31"/>
      <c r="K92" s="31" t="s">
        <v>1141</v>
      </c>
      <c r="L92" s="31"/>
      <c r="M92" s="31"/>
      <c r="N92" s="31"/>
      <c r="O92" s="31"/>
      <c r="P92" s="31"/>
      <c r="Q92" s="31"/>
      <c r="R92" s="31"/>
      <c r="S92" s="31" t="s">
        <v>1141</v>
      </c>
      <c r="T92" s="31"/>
      <c r="U92" s="31"/>
      <c r="V92" s="31"/>
      <c r="W92" s="31"/>
      <c r="X92" s="31"/>
    </row>
    <row r="93" spans="1:24" ht="35.25" customHeight="1" x14ac:dyDescent="0.3">
      <c r="A93" s="29" t="str">
        <f>'Web Test Cases'!A93</f>
        <v>TC_CART_EDGE_015</v>
      </c>
      <c r="B93" s="30" t="str">
        <f>'Web Test Cases'!D93</f>
        <v>Silinmiş məhsul brauzerin 'Geri' düyməsindən sonra qayıtmır</v>
      </c>
      <c r="C93" s="29" t="str">
        <f>'Web Test Cases'!B93</f>
        <v>SC-018</v>
      </c>
      <c r="D93" s="29" t="str">
        <f>'Web Test Cases'!L93</f>
        <v>Pass</v>
      </c>
      <c r="E93" s="31"/>
      <c r="F93" s="31"/>
      <c r="G93" s="31"/>
      <c r="H93" s="31"/>
      <c r="I93" s="31"/>
      <c r="J93" s="31"/>
      <c r="K93" s="31" t="s">
        <v>1141</v>
      </c>
      <c r="L93" s="31"/>
      <c r="M93" s="31"/>
      <c r="N93" s="31"/>
      <c r="O93" s="31"/>
      <c r="P93" s="31"/>
      <c r="Q93" s="31"/>
      <c r="R93" s="31"/>
      <c r="S93" s="31" t="s">
        <v>1141</v>
      </c>
      <c r="T93" s="31"/>
      <c r="U93" s="31"/>
      <c r="V93" s="31"/>
      <c r="W93" s="31"/>
      <c r="X93" s="31"/>
    </row>
    <row r="94" spans="1:24" ht="35.25" customHeight="1" x14ac:dyDescent="0.3">
      <c r="A94" s="29" t="str">
        <f>'Web Test Cases'!A94</f>
        <v>TC_CART_EDGE_016</v>
      </c>
      <c r="B94" s="30" t="str">
        <f>'Web Test Cases'!D94</f>
        <v>Eyni modelin fərqli variantları ayrı sətirlərdə saxlanılır</v>
      </c>
      <c r="C94" s="29" t="str">
        <f>'Web Test Cases'!B94</f>
        <v>SC-018</v>
      </c>
      <c r="D94" s="29" t="str">
        <f>'Web Test Cases'!L94</f>
        <v>Pass</v>
      </c>
      <c r="E94" s="31"/>
      <c r="F94" s="31"/>
      <c r="G94" s="31"/>
      <c r="H94" s="31"/>
      <c r="I94" s="31"/>
      <c r="J94" s="31"/>
      <c r="K94" s="31" t="s">
        <v>1141</v>
      </c>
      <c r="L94" s="31"/>
      <c r="M94" s="31"/>
      <c r="N94" s="31"/>
      <c r="O94" s="31"/>
      <c r="P94" s="31"/>
      <c r="Q94" s="31"/>
      <c r="R94" s="31"/>
      <c r="S94" s="31"/>
      <c r="T94" s="31"/>
      <c r="U94" s="31"/>
      <c r="V94" s="31"/>
      <c r="W94" s="31"/>
      <c r="X94" s="31"/>
    </row>
    <row r="95" spans="1:24" ht="35.25" customHeight="1" x14ac:dyDescent="0.3">
      <c r="A95" s="29" t="str">
        <f>'Web Test Cases'!A95</f>
        <v>TC_CART_POS_017</v>
      </c>
      <c r="B95" s="30" t="str">
        <f>'Web Test Cases'!D95</f>
        <v>Səbət sətrində şəkil, ad, variant, qiymət və miqdar göstərilir, klik eyni variantın PDP-sini açır</v>
      </c>
      <c r="C95" s="29" t="str">
        <f>'Web Test Cases'!B95</f>
        <v>SC-019</v>
      </c>
      <c r="D95" s="29" t="str">
        <f>'Web Test Cases'!L95</f>
        <v>Pass</v>
      </c>
      <c r="E95" s="31"/>
      <c r="F95" s="31"/>
      <c r="G95" s="31"/>
      <c r="H95" s="31"/>
      <c r="I95" s="31"/>
      <c r="J95" s="31" t="s">
        <v>1141</v>
      </c>
      <c r="K95" s="31"/>
      <c r="L95" s="31"/>
      <c r="M95" s="31"/>
      <c r="N95" s="31"/>
      <c r="O95" s="31"/>
      <c r="P95" s="31"/>
      <c r="Q95" s="31"/>
      <c r="R95" s="31"/>
      <c r="S95" s="31"/>
      <c r="T95" s="31"/>
      <c r="U95" s="31"/>
      <c r="V95" s="31"/>
      <c r="W95" s="31"/>
      <c r="X95" s="31"/>
    </row>
    <row r="96" spans="1:24" ht="35.25" customHeight="1" x14ac:dyDescent="0.3">
      <c r="A96" s="29" t="str">
        <f>'Web Test Cases'!A96</f>
        <v>TC_CART_EDGE_018</v>
      </c>
      <c r="B96" s="30" t="str">
        <f>'Web Test Cases'!D96</f>
        <v>Endirimli məhsul səbətdə endirimli qiymətlə hesablanır</v>
      </c>
      <c r="C96" s="29" t="str">
        <f>'Web Test Cases'!B96</f>
        <v>SC-019</v>
      </c>
      <c r="D96" s="29" t="str">
        <f>'Web Test Cases'!L96</f>
        <v>Pass</v>
      </c>
      <c r="E96" s="31"/>
      <c r="F96" s="31"/>
      <c r="G96" s="31"/>
      <c r="H96" s="31"/>
      <c r="I96" s="31"/>
      <c r="J96" s="31"/>
      <c r="K96" s="31" t="s">
        <v>1141</v>
      </c>
      <c r="L96" s="31"/>
      <c r="M96" s="31"/>
      <c r="N96" s="31"/>
      <c r="O96" s="31"/>
      <c r="P96" s="31"/>
      <c r="Q96" s="31"/>
      <c r="R96" s="31"/>
      <c r="S96" s="31"/>
      <c r="T96" s="31"/>
      <c r="U96" s="31"/>
      <c r="V96" s="31"/>
      <c r="W96" s="31" t="s">
        <v>1141</v>
      </c>
      <c r="X96" s="31"/>
    </row>
    <row r="97" spans="1:24" ht="35.25" customHeight="1" x14ac:dyDescent="0.3">
      <c r="A97" s="29" t="str">
        <f>'Web Test Cases'!A97</f>
        <v>TC_CART_EDGE_019</v>
      </c>
      <c r="B97" s="30" t="str">
        <f>'Web Test Cases'!D97</f>
        <v>Məhsul silinəndə ona bağlı qoruma proqramı sətri də silinir</v>
      </c>
      <c r="C97" s="29" t="str">
        <f>'Web Test Cases'!B97</f>
        <v>SC-019</v>
      </c>
      <c r="D97" s="29" t="str">
        <f>'Web Test Cases'!L97</f>
        <v>Pass</v>
      </c>
      <c r="E97" s="31"/>
      <c r="F97" s="31"/>
      <c r="G97" s="31"/>
      <c r="H97" s="31"/>
      <c r="I97" s="31"/>
      <c r="J97" s="31"/>
      <c r="K97" s="31" t="s">
        <v>1141</v>
      </c>
      <c r="L97" s="31"/>
      <c r="M97" s="31"/>
      <c r="N97" s="31"/>
      <c r="O97" s="31"/>
      <c r="P97" s="31"/>
      <c r="Q97" s="31"/>
      <c r="R97" s="31"/>
      <c r="S97" s="31"/>
      <c r="T97" s="31"/>
      <c r="U97" s="31"/>
      <c r="V97" s="31"/>
      <c r="W97" s="31" t="s">
        <v>1141</v>
      </c>
      <c r="X97" s="31"/>
    </row>
    <row r="98" spans="1:24" ht="35.25" customHeight="1" x14ac:dyDescent="0.3">
      <c r="A98" s="29" t="str">
        <f>'Web Test Cases'!A98</f>
        <v>TC_CART_EDGE_020</v>
      </c>
      <c r="B98" s="30" t="str">
        <f>'Web Test Cases'!D98</f>
        <v>Qoruma proqramlı məhsulun miqdarı artanda proqram miqdarı da uyğunlaşır</v>
      </c>
      <c r="C98" s="29" t="str">
        <f>'Web Test Cases'!B98</f>
        <v>SC-019</v>
      </c>
      <c r="D98" s="29" t="str">
        <f>'Web Test Cases'!L98</f>
        <v>Pass</v>
      </c>
      <c r="E98" s="31"/>
      <c r="F98" s="31"/>
      <c r="G98" s="31"/>
      <c r="H98" s="31"/>
      <c r="I98" s="31"/>
      <c r="J98" s="31"/>
      <c r="K98" s="31" t="s">
        <v>1141</v>
      </c>
      <c r="L98" s="31"/>
      <c r="M98" s="31"/>
      <c r="N98" s="31"/>
      <c r="O98" s="31"/>
      <c r="P98" s="31"/>
      <c r="Q98" s="31"/>
      <c r="R98" s="31"/>
      <c r="S98" s="31"/>
      <c r="T98" s="31"/>
      <c r="U98" s="31"/>
      <c r="V98" s="31"/>
      <c r="W98" s="31" t="s">
        <v>1141</v>
      </c>
      <c r="X98" s="31"/>
    </row>
    <row r="99" spans="1:24" ht="35.25" customHeight="1" x14ac:dyDescent="0.3">
      <c r="A99" s="29" t="str">
        <f>'Web Test Cases'!A99</f>
        <v>TC_CART_EDGE_021</v>
      </c>
      <c r="B99" s="30" t="str">
        <f>'Web Test Cases'!D99</f>
        <v>Mini-səbətdə eyni modelin fərqli variantları ayırd edilir</v>
      </c>
      <c r="C99" s="29" t="str">
        <f>'Web Test Cases'!B99</f>
        <v>SC-019</v>
      </c>
      <c r="D99" s="29" t="str">
        <f>'Web Test Cases'!L99</f>
        <v>Pass</v>
      </c>
      <c r="E99" s="31"/>
      <c r="F99" s="31"/>
      <c r="G99" s="31"/>
      <c r="H99" s="31"/>
      <c r="I99" s="31"/>
      <c r="J99" s="31"/>
      <c r="K99" s="31" t="s">
        <v>1141</v>
      </c>
      <c r="L99" s="31"/>
      <c r="M99" s="31"/>
      <c r="N99" s="31"/>
      <c r="O99" s="31"/>
      <c r="P99" s="31"/>
      <c r="Q99" s="31"/>
      <c r="R99" s="31"/>
      <c r="S99" s="31"/>
      <c r="T99" s="31"/>
      <c r="U99" s="31"/>
      <c r="V99" s="31"/>
      <c r="W99" s="31" t="s">
        <v>1141</v>
      </c>
      <c r="X99" s="31"/>
    </row>
    <row r="100" spans="1:24" ht="35.25" customHeight="1" x14ac:dyDescent="0.3">
      <c r="A100" s="29" t="str">
        <f>'Web Test Cases'!A100</f>
        <v>TC_CART_EDGE_022</v>
      </c>
      <c r="B100" s="30" t="str">
        <f>'Web Test Cases'!D100</f>
        <v>Səbətdəki aylıq ödəniş mətnləri və 'X ₼/ay üçün 18 ay' bloku eyni bazaya əsaslanır</v>
      </c>
      <c r="C100" s="29" t="str">
        <f>'Web Test Cases'!B100</f>
        <v>SC-019</v>
      </c>
      <c r="D100" s="29" t="str">
        <f>'Web Test Cases'!L100</f>
        <v>Fail</v>
      </c>
      <c r="E100" s="31"/>
      <c r="F100" s="31"/>
      <c r="G100" s="31"/>
      <c r="H100" s="31"/>
      <c r="I100" s="31"/>
      <c r="J100" s="31"/>
      <c r="K100" s="31" t="s">
        <v>1141</v>
      </c>
      <c r="L100" s="31"/>
      <c r="M100" s="31"/>
      <c r="N100" s="31"/>
      <c r="O100" s="31"/>
      <c r="P100" s="31"/>
      <c r="Q100" s="31"/>
      <c r="R100" s="31"/>
      <c r="S100" s="31"/>
      <c r="T100" s="31"/>
      <c r="U100" s="31"/>
      <c r="V100" s="31"/>
      <c r="W100" s="31" t="s">
        <v>1141</v>
      </c>
      <c r="X100" s="31"/>
    </row>
    <row r="101" spans="1:24" ht="35.25" customHeight="1" x14ac:dyDescent="0.3">
      <c r="A101" s="29" t="str">
        <f>'Web Test Cases'!A101</f>
        <v>TC_CART_POS_023</v>
      </c>
      <c r="B101" s="30" t="str">
        <f>'Web Test Cases'!D101</f>
        <v>Səbətdə qoruma proqramı seçimi Cəmi və taksit blokunu yeniləyir</v>
      </c>
      <c r="C101" s="29" t="str">
        <f>'Web Test Cases'!B101</f>
        <v>SC-019</v>
      </c>
      <c r="D101" s="29" t="str">
        <f>'Web Test Cases'!L101</f>
        <v>Pass</v>
      </c>
      <c r="E101" s="31"/>
      <c r="F101" s="31"/>
      <c r="G101" s="31"/>
      <c r="H101" s="31"/>
      <c r="I101" s="31"/>
      <c r="J101" s="31"/>
      <c r="K101" s="31" t="s">
        <v>1141</v>
      </c>
      <c r="L101" s="31"/>
      <c r="M101" s="31"/>
      <c r="N101" s="31"/>
      <c r="O101" s="31"/>
      <c r="P101" s="31"/>
      <c r="Q101" s="31"/>
      <c r="R101" s="31"/>
      <c r="S101" s="31"/>
      <c r="T101" s="31"/>
      <c r="U101" s="31"/>
      <c r="V101" s="31"/>
      <c r="W101" s="31"/>
      <c r="X101" s="31"/>
    </row>
    <row r="102" spans="1:24" ht="35.25" customHeight="1" x14ac:dyDescent="0.3">
      <c r="A102" s="29" t="str">
        <f>'Web Test Cases'!A102</f>
        <v>TC_CART_EDGE_024</v>
      </c>
      <c r="B102" s="30" t="str">
        <f>'Web Test Cases'!D102</f>
        <v>Səbətdəki çatdırılma/mağaza seçimi checkout-a ötürülür</v>
      </c>
      <c r="C102" s="29" t="str">
        <f>'Web Test Cases'!B102</f>
        <v>SC-019</v>
      </c>
      <c r="D102" s="29" t="str">
        <f>'Web Test Cases'!L102</f>
        <v>Pass</v>
      </c>
      <c r="E102" s="31"/>
      <c r="F102" s="31"/>
      <c r="G102" s="31"/>
      <c r="H102" s="31"/>
      <c r="I102" s="31"/>
      <c r="J102" s="31"/>
      <c r="K102" s="31" t="s">
        <v>1141</v>
      </c>
      <c r="L102" s="31"/>
      <c r="M102" s="31"/>
      <c r="N102" s="31"/>
      <c r="O102" s="31"/>
      <c r="P102" s="31"/>
      <c r="Q102" s="31"/>
      <c r="R102" s="31"/>
      <c r="S102" s="31"/>
      <c r="T102" s="31"/>
      <c r="U102" s="31"/>
      <c r="V102" s="31"/>
      <c r="W102" s="31" t="s">
        <v>1141</v>
      </c>
      <c r="X102" s="31"/>
    </row>
    <row r="103" spans="1:24" ht="35.25" customHeight="1" x14ac:dyDescent="0.3">
      <c r="A103" s="29" t="str">
        <f>'Web Test Cases'!A103</f>
        <v>TC_CART_EDGE_025</v>
      </c>
      <c r="B103" s="30" t="str">
        <f>'Web Test Cases'!D103</f>
        <v>Header sayğacının mənası (ədəd və ya sətir) ardıcıldır</v>
      </c>
      <c r="C103" s="29" t="str">
        <f>'Web Test Cases'!B103</f>
        <v>SC-020</v>
      </c>
      <c r="D103" s="29" t="str">
        <f>'Web Test Cases'!L103</f>
        <v>Pass</v>
      </c>
      <c r="E103" s="31"/>
      <c r="F103" s="31"/>
      <c r="G103" s="31"/>
      <c r="H103" s="31"/>
      <c r="I103" s="31"/>
      <c r="J103" s="31"/>
      <c r="K103" s="31" t="s">
        <v>1141</v>
      </c>
      <c r="L103" s="31"/>
      <c r="M103" s="31"/>
      <c r="N103" s="31"/>
      <c r="O103" s="31" t="s">
        <v>1141</v>
      </c>
      <c r="P103" s="31"/>
      <c r="Q103" s="31"/>
      <c r="R103" s="31"/>
      <c r="S103" s="31"/>
      <c r="T103" s="31"/>
      <c r="U103" s="31"/>
      <c r="V103" s="31"/>
      <c r="W103" s="31"/>
      <c r="X103" s="31"/>
    </row>
    <row r="104" spans="1:24" ht="35.25" customHeight="1" x14ac:dyDescent="0.3">
      <c r="A104" s="29" t="str">
        <f>'Web Test Cases'!A104</f>
        <v>TC_CART_BVA_026</v>
      </c>
      <c r="B104" s="30" t="str">
        <f>'Web Test Cases'!D104</f>
        <v>Səbətdə miqdar sahəsinə 0, -1, 1.5, hərf və 999 yazıldıqda etibarsız miqdar qəbul edilmir</v>
      </c>
      <c r="C104" s="29" t="str">
        <f>'Web Test Cases'!B104</f>
        <v>SC-020</v>
      </c>
      <c r="D104" s="29" t="str">
        <f>'Web Test Cases'!L104</f>
        <v>Pass</v>
      </c>
      <c r="E104" s="31"/>
      <c r="F104" s="31"/>
      <c r="G104" s="31"/>
      <c r="H104" s="31"/>
      <c r="I104" s="31"/>
      <c r="J104" s="31"/>
      <c r="K104" s="31"/>
      <c r="L104" s="31"/>
      <c r="M104" s="31"/>
      <c r="N104" s="31"/>
      <c r="O104" s="31"/>
      <c r="P104" s="31"/>
      <c r="Q104" s="31"/>
      <c r="R104" s="31"/>
      <c r="S104" s="31" t="s">
        <v>1141</v>
      </c>
      <c r="T104" s="31"/>
      <c r="U104" s="31"/>
      <c r="V104" s="31"/>
      <c r="W104" s="31"/>
      <c r="X104" s="31"/>
    </row>
    <row r="105" spans="1:24" ht="35.25" customHeight="1" x14ac:dyDescent="0.3">
      <c r="A105" s="29" t="str">
        <f>'Web Test Cases'!A105</f>
        <v>TC_CART_EDGE_027</v>
      </c>
      <c r="B105" s="30" t="str">
        <f>'Web Test Cases'!D105</f>
        <v>'Ön sifariş' və stokdakı məhsul eyni səbətə əlavə edildikdə ön sifariş sətri ayrıca işarələnir</v>
      </c>
      <c r="C105" s="29" t="str">
        <f>'Web Test Cases'!B105</f>
        <v>SC-020</v>
      </c>
      <c r="D105" s="29" t="str">
        <f>'Web Test Cases'!L105</f>
        <v>Fail</v>
      </c>
      <c r="E105" s="31"/>
      <c r="F105" s="31"/>
      <c r="G105" s="31"/>
      <c r="H105" s="31"/>
      <c r="I105" s="31"/>
      <c r="J105" s="31"/>
      <c r="K105" s="31"/>
      <c r="L105" s="31"/>
      <c r="M105" s="31"/>
      <c r="N105" s="31"/>
      <c r="O105" s="31" t="s">
        <v>1141</v>
      </c>
      <c r="P105" s="31"/>
      <c r="Q105" s="31"/>
      <c r="R105" s="31"/>
      <c r="S105" s="31"/>
      <c r="T105" s="31"/>
      <c r="U105" s="31"/>
      <c r="V105" s="31"/>
      <c r="W105" s="31"/>
      <c r="X105" s="31"/>
    </row>
    <row r="106" spans="1:24" ht="35.25" customHeight="1" x14ac:dyDescent="0.3">
      <c r="A106" s="29" t="str">
        <f>'Web Test Cases'!A106</f>
        <v>TC_CART_EDGE_028</v>
      </c>
      <c r="B106" s="30" t="str">
        <f>'Web Test Cases'!D106</f>
        <v>Səbət brauzer bağlanıb açılanda saxlanır, cookie silinəndə təmizlənir</v>
      </c>
      <c r="C106" s="29" t="str">
        <f>'Web Test Cases'!B106</f>
        <v>SC-020</v>
      </c>
      <c r="D106" s="29" t="str">
        <f>'Web Test Cases'!L106</f>
        <v>Pass</v>
      </c>
      <c r="E106" s="31"/>
      <c r="F106" s="31"/>
      <c r="G106" s="31"/>
      <c r="H106" s="31"/>
      <c r="I106" s="31"/>
      <c r="J106" s="31"/>
      <c r="K106" s="31" t="s">
        <v>1141</v>
      </c>
      <c r="L106" s="31"/>
      <c r="M106" s="31"/>
      <c r="N106" s="31"/>
      <c r="O106" s="31" t="s">
        <v>1141</v>
      </c>
      <c r="P106" s="31"/>
      <c r="Q106" s="31"/>
      <c r="R106" s="31"/>
      <c r="S106" s="31"/>
      <c r="T106" s="31"/>
      <c r="U106" s="31"/>
      <c r="V106" s="31"/>
      <c r="W106" s="31"/>
      <c r="X106" s="31"/>
    </row>
    <row r="107" spans="1:24" ht="35.25" customHeight="1" x14ac:dyDescent="0.3">
      <c r="A107" s="29" t="str">
        <f>'Web Test Cases'!A107</f>
        <v>TC_CART_EDGE_029</v>
      </c>
      <c r="B107" s="30" t="str">
        <f>'Web Test Cases'!D107</f>
        <v>Mini-səbət ('Əşyalar səbətə əlavə edildi') səbət səhifəsi ilə uyğundur</v>
      </c>
      <c r="C107" s="29" t="str">
        <f>'Web Test Cases'!B107</f>
        <v>SC-020</v>
      </c>
      <c r="D107" s="29" t="str">
        <f>'Web Test Cases'!L107</f>
        <v>Pass</v>
      </c>
      <c r="E107" s="31"/>
      <c r="F107" s="31"/>
      <c r="G107" s="31"/>
      <c r="H107" s="31"/>
      <c r="I107" s="31"/>
      <c r="J107" s="31"/>
      <c r="K107" s="31" t="s">
        <v>1141</v>
      </c>
      <c r="L107" s="31"/>
      <c r="M107" s="31"/>
      <c r="N107" s="31"/>
      <c r="O107" s="31" t="s">
        <v>1141</v>
      </c>
      <c r="P107" s="31"/>
      <c r="Q107" s="31"/>
      <c r="R107" s="31"/>
      <c r="S107" s="31"/>
      <c r="T107" s="31"/>
      <c r="U107" s="31"/>
      <c r="V107" s="31"/>
      <c r="W107" s="31"/>
      <c r="X107" s="31"/>
    </row>
    <row r="108" spans="1:24" ht="35.25" customHeight="1" x14ac:dyDescent="0.3">
      <c r="A108" s="29" t="str">
        <f>'Web Test Cases'!A108</f>
        <v>TC_CART_UI_030</v>
      </c>
      <c r="B108" s="30" t="str">
        <f>'Web Test Cases'!D108</f>
        <v>Böyük məbləğlərdə cəmin formatı və düzülüşü pozulmur</v>
      </c>
      <c r="C108" s="29" t="str">
        <f>'Web Test Cases'!B108</f>
        <v>SC-020</v>
      </c>
      <c r="D108" s="29" t="str">
        <f>'Web Test Cases'!L108</f>
        <v>Pass</v>
      </c>
      <c r="E108" s="31"/>
      <c r="F108" s="31"/>
      <c r="G108" s="31"/>
      <c r="H108" s="31"/>
      <c r="I108" s="31"/>
      <c r="J108" s="31"/>
      <c r="K108" s="31" t="s">
        <v>1141</v>
      </c>
      <c r="L108" s="31"/>
      <c r="M108" s="31"/>
      <c r="N108" s="31"/>
      <c r="O108" s="31" t="s">
        <v>1141</v>
      </c>
      <c r="P108" s="31"/>
      <c r="Q108" s="31"/>
      <c r="R108" s="31"/>
      <c r="S108" s="31"/>
      <c r="T108" s="31"/>
      <c r="U108" s="31"/>
      <c r="V108" s="31"/>
      <c r="W108" s="31"/>
      <c r="X108" s="31"/>
    </row>
    <row r="109" spans="1:24" ht="35.25" customHeight="1" x14ac:dyDescent="0.3">
      <c r="A109" s="29" t="str">
        <f>'Web Test Cases'!A109</f>
        <v>TC_CHK_NEG_001</v>
      </c>
      <c r="B109" s="30" t="str">
        <f>'Web Test Cases'!D109</f>
        <v>Checkout-da səhv formatlı telefon nömrəsi yazıldıqda sahənin altında xəta mesajı göstərilir</v>
      </c>
      <c r="C109" s="29" t="str">
        <f>'Web Test Cases'!B109</f>
        <v>SC-021</v>
      </c>
      <c r="D109" s="29" t="str">
        <f>'Web Test Cases'!L109</f>
        <v>Pass</v>
      </c>
      <c r="E109" s="31"/>
      <c r="F109" s="31"/>
      <c r="G109" s="31"/>
      <c r="H109" s="31"/>
      <c r="I109" s="31"/>
      <c r="J109" s="31"/>
      <c r="K109" s="31"/>
      <c r="L109" s="31"/>
      <c r="M109" s="31"/>
      <c r="N109" s="31"/>
      <c r="O109" s="31"/>
      <c r="P109" s="31"/>
      <c r="Q109" s="31"/>
      <c r="R109" s="31"/>
      <c r="S109" s="31"/>
      <c r="T109" s="31"/>
      <c r="U109" s="31"/>
      <c r="V109" s="31"/>
      <c r="W109" s="31"/>
      <c r="X109" s="31" t="s">
        <v>1141</v>
      </c>
    </row>
    <row r="110" spans="1:24" ht="35.25" customHeight="1" x14ac:dyDescent="0.3">
      <c r="A110" s="29" t="str">
        <f>'Web Test Cases'!A110</f>
        <v>TC_CHK_NEG_002</v>
      </c>
      <c r="B110" s="30" t="str">
        <f>'Web Test Cases'!D110</f>
        <v>Checkout-da səhv formatlı e-poçt yazıldıqda sahənin altında xəta mesajı göstərilir</v>
      </c>
      <c r="C110" s="29" t="str">
        <f>'Web Test Cases'!B110</f>
        <v>SC-021</v>
      </c>
      <c r="D110" s="29" t="str">
        <f>'Web Test Cases'!L110</f>
        <v>Pass</v>
      </c>
      <c r="E110" s="31"/>
      <c r="F110" s="31"/>
      <c r="G110" s="31"/>
      <c r="H110" s="31"/>
      <c r="I110" s="31"/>
      <c r="J110" s="31"/>
      <c r="K110" s="31"/>
      <c r="L110" s="31"/>
      <c r="M110" s="31"/>
      <c r="N110" s="31"/>
      <c r="O110" s="31"/>
      <c r="P110" s="31"/>
      <c r="Q110" s="31"/>
      <c r="R110" s="31"/>
      <c r="S110" s="31"/>
      <c r="T110" s="31"/>
      <c r="U110" s="31"/>
      <c r="V110" s="31"/>
      <c r="W110" s="31"/>
      <c r="X110" s="31" t="s">
        <v>1141</v>
      </c>
    </row>
    <row r="111" spans="1:24" ht="35.25" customHeight="1" x14ac:dyDescent="0.3">
      <c r="A111" s="29" t="str">
        <f>'Web Test Cases'!A111</f>
        <v>TC_CHK_POS_003</v>
      </c>
      <c r="B111" s="30" t="str">
        <f>'Web Test Cases'!D111</f>
        <v>300 ₼-dan az səbətdə 'Kuryer ilə çatdırılma' seçildikdə xülasədə çatdırılma haqqı göstərilir və 'Ödəmək'ə əlavə olunur</v>
      </c>
      <c r="C111" s="29" t="str">
        <f>'Web Test Cases'!B111</f>
        <v>SC-021</v>
      </c>
      <c r="D111" s="29" t="str">
        <f>'Web Test Cases'!L111</f>
        <v>Fail</v>
      </c>
      <c r="E111" s="31"/>
      <c r="F111" s="31"/>
      <c r="G111" s="31"/>
      <c r="H111" s="31"/>
      <c r="I111" s="31"/>
      <c r="J111" s="31"/>
      <c r="K111" s="31"/>
      <c r="L111" s="31"/>
      <c r="M111" s="31"/>
      <c r="N111" s="31"/>
      <c r="O111" s="31"/>
      <c r="P111" s="31"/>
      <c r="Q111" s="31" t="s">
        <v>1141</v>
      </c>
      <c r="R111" s="31"/>
      <c r="S111" s="31"/>
      <c r="T111" s="31"/>
      <c r="U111" s="31"/>
      <c r="V111" s="31"/>
      <c r="W111" s="31"/>
      <c r="X111" s="31"/>
    </row>
    <row r="112" spans="1:24" ht="35.25" customHeight="1" x14ac:dyDescent="0.3">
      <c r="A112" s="29" t="str">
        <f>'Web Test Cases'!A112</f>
        <v>TC_CHK_POS_004</v>
      </c>
      <c r="B112" s="30" t="str">
        <f>'Web Test Cases'!D112</f>
        <v>Checkout-dakı kuryer çatdırılma qiyməti 'Çatdırılma və ödəniş' səhifəsindəki Bakı tarifi ilə eynidir</v>
      </c>
      <c r="C112" s="29" t="str">
        <f>'Web Test Cases'!B112</f>
        <v>SC-021</v>
      </c>
      <c r="D112" s="29" t="str">
        <f>'Web Test Cases'!L112</f>
        <v>Fail</v>
      </c>
      <c r="E112" s="31"/>
      <c r="F112" s="31"/>
      <c r="G112" s="31"/>
      <c r="H112" s="31"/>
      <c r="I112" s="31"/>
      <c r="J112" s="31"/>
      <c r="K112" s="31"/>
      <c r="L112" s="31"/>
      <c r="M112" s="31"/>
      <c r="N112" s="31"/>
      <c r="O112" s="31"/>
      <c r="P112" s="31"/>
      <c r="Q112" s="31" t="s">
        <v>1141</v>
      </c>
      <c r="R112" s="31"/>
      <c r="S112" s="31"/>
      <c r="T112" s="31"/>
      <c r="U112" s="31"/>
      <c r="V112" s="31"/>
      <c r="W112" s="31"/>
      <c r="X112" s="31"/>
    </row>
    <row r="113" spans="1:24" ht="35.25" customHeight="1" x14ac:dyDescent="0.3">
      <c r="A113" s="29" t="str">
        <f>'Web Test Cases'!A113</f>
        <v>TC_CHK_NEG_005</v>
      </c>
      <c r="B113" s="30" t="str">
        <f>'Web Test Cases'!D113</f>
        <v>Checkout-da bütün məcburi sahələr boş ikən təsdiq düyməsi basıldıqda hər boş sahənin altında mesaj göstərilir və sifariş yaranmır</v>
      </c>
      <c r="C113" s="29" t="str">
        <f>'Web Test Cases'!B113</f>
        <v>SC-021</v>
      </c>
      <c r="D113" s="29" t="str">
        <f>'Web Test Cases'!L113</f>
        <v>Pass</v>
      </c>
      <c r="E113" s="31"/>
      <c r="F113" s="31"/>
      <c r="G113" s="31"/>
      <c r="H113" s="31"/>
      <c r="I113" s="31"/>
      <c r="J113" s="31"/>
      <c r="K113" s="31"/>
      <c r="L113" s="31"/>
      <c r="M113" s="31"/>
      <c r="N113" s="31"/>
      <c r="O113" s="31"/>
      <c r="P113" s="31"/>
      <c r="Q113" s="31"/>
      <c r="R113" s="31"/>
      <c r="S113" s="31"/>
      <c r="T113" s="31"/>
      <c r="U113" s="31"/>
      <c r="V113" s="31"/>
      <c r="W113" s="31"/>
      <c r="X113" s="31" t="s">
        <v>1141</v>
      </c>
    </row>
    <row r="114" spans="1:24" ht="35.25" customHeight="1" x14ac:dyDescent="0.3">
      <c r="A114" s="29" t="str">
        <f>'Web Test Cases'!A114</f>
        <v>TC_CHK_POS_006</v>
      </c>
      <c r="B114" s="30" t="str">
        <f>'Web Test Cases'!D114</f>
        <v>Checkout-da 'Mağazadan götürmə' seçildikdə mağaza seçimi göstərilir və xülasədə çatdırılma haqqı ödənişsiz olur</v>
      </c>
      <c r="C114" s="29" t="str">
        <f>'Web Test Cases'!B114</f>
        <v>SC-021</v>
      </c>
      <c r="D114" s="29" t="str">
        <f>'Web Test Cases'!L114</f>
        <v>Pass</v>
      </c>
      <c r="E114" s="31"/>
      <c r="F114" s="31"/>
      <c r="G114" s="31"/>
      <c r="H114" s="31"/>
      <c r="I114" s="31"/>
      <c r="J114" s="31"/>
      <c r="K114" s="31"/>
      <c r="L114" s="31"/>
      <c r="M114" s="31"/>
      <c r="N114" s="31"/>
      <c r="O114" s="31"/>
      <c r="P114" s="31"/>
      <c r="Q114" s="31" t="s">
        <v>1141</v>
      </c>
      <c r="R114" s="31"/>
      <c r="S114" s="31"/>
      <c r="T114" s="31"/>
      <c r="U114" s="31"/>
      <c r="V114" s="31"/>
      <c r="W114" s="31"/>
      <c r="X114" s="31"/>
    </row>
    <row r="115" spans="1:24" ht="35.25" customHeight="1" x14ac:dyDescent="0.3">
      <c r="A115" s="29" t="str">
        <f>'Web Test Cases'!A115</f>
        <v>TC_CHK_POS_007</v>
      </c>
      <c r="B115" s="30" t="str">
        <f>'Web Test Cases'!D115</f>
        <v>Checkout-da Bakıdan kənar şəhər (Sumqayıt) seçildikdə rayon çatdırılma şərtləri və haqqı göstərilir</v>
      </c>
      <c r="C115" s="29" t="str">
        <f>'Web Test Cases'!B115</f>
        <v>SC-021</v>
      </c>
      <c r="D115" s="29" t="str">
        <f>'Web Test Cases'!L115</f>
        <v>Fail</v>
      </c>
      <c r="E115" s="31"/>
      <c r="F115" s="31"/>
      <c r="G115" s="31"/>
      <c r="H115" s="31"/>
      <c r="I115" s="31"/>
      <c r="J115" s="31"/>
      <c r="K115" s="31"/>
      <c r="L115" s="31"/>
      <c r="M115" s="31"/>
      <c r="N115" s="31"/>
      <c r="O115" s="31"/>
      <c r="P115" s="31"/>
      <c r="Q115" s="31" t="s">
        <v>1141</v>
      </c>
      <c r="R115" s="31"/>
      <c r="S115" s="31"/>
      <c r="T115" s="31"/>
      <c r="U115" s="31"/>
      <c r="V115" s="31"/>
      <c r="W115" s="31"/>
      <c r="X115" s="31"/>
    </row>
    <row r="116" spans="1:24" ht="35.25" customHeight="1" x14ac:dyDescent="0.3">
      <c r="A116" s="29" t="str">
        <f>'Web Test Cases'!A116</f>
        <v>TC_SRCH_POS_001</v>
      </c>
      <c r="B116" s="30" t="str">
        <f>'Web Test Cases'!D116</f>
        <v>Model adı ilə axtarış uyğun nəticələr qaytarır</v>
      </c>
      <c r="C116" s="29" t="str">
        <f>'Web Test Cases'!B116</f>
        <v>SC-022</v>
      </c>
      <c r="D116" s="29" t="str">
        <f>'Web Test Cases'!L116</f>
        <v>Pass</v>
      </c>
      <c r="E116" s="31"/>
      <c r="F116" s="31"/>
      <c r="G116" s="31"/>
      <c r="H116" s="31"/>
      <c r="I116" s="31"/>
      <c r="J116" s="31"/>
      <c r="K116" s="31"/>
      <c r="L116" s="31"/>
      <c r="M116" s="31"/>
      <c r="N116" s="31"/>
      <c r="O116" s="31"/>
      <c r="P116" s="31"/>
      <c r="Q116" s="31"/>
      <c r="R116" s="31"/>
      <c r="S116" s="31"/>
      <c r="T116" s="31" t="s">
        <v>1141</v>
      </c>
      <c r="U116" s="31"/>
      <c r="V116" s="31"/>
      <c r="W116" s="31"/>
      <c r="X116" s="31"/>
    </row>
    <row r="117" spans="1:24" ht="35.25" customHeight="1" x14ac:dyDescent="0.3">
      <c r="A117" s="29" t="str">
        <f>'Web Test Cases'!A117</f>
        <v>TC_SRCH_POS_002</v>
      </c>
      <c r="B117" s="30" t="str">
        <f>'Web Test Cases'!D117</f>
        <v>Məhsul kodu ilə axtarış həmin məhsulu tapır</v>
      </c>
      <c r="C117" s="29" t="str">
        <f>'Web Test Cases'!B117</f>
        <v>SC-022</v>
      </c>
      <c r="D117" s="29" t="str">
        <f>'Web Test Cases'!L117</f>
        <v>Pass</v>
      </c>
      <c r="E117" s="31"/>
      <c r="F117" s="31"/>
      <c r="G117" s="31"/>
      <c r="H117" s="31"/>
      <c r="I117" s="31"/>
      <c r="J117" s="31"/>
      <c r="K117" s="31"/>
      <c r="L117" s="31"/>
      <c r="M117" s="31"/>
      <c r="N117" s="31"/>
      <c r="O117" s="31"/>
      <c r="P117" s="31"/>
      <c r="Q117" s="31"/>
      <c r="R117" s="31"/>
      <c r="S117" s="31"/>
      <c r="T117" s="31" t="s">
        <v>1141</v>
      </c>
      <c r="U117" s="31"/>
      <c r="V117" s="31"/>
      <c r="W117" s="31"/>
      <c r="X117" s="31"/>
    </row>
    <row r="118" spans="1:24" ht="35.25" customHeight="1" x14ac:dyDescent="0.3">
      <c r="A118" s="29" t="str">
        <f>'Web Test Cases'!A118</f>
        <v>TC_SRCH_POS_003</v>
      </c>
      <c r="B118" s="30" t="str">
        <f>'Web Test Cases'!D118</f>
        <v>Böyük/kiçik hərflə yazılmış eyni sorğu eyni nəticəni, qismən söz ('airp') uyğun məhsulları qaytarır</v>
      </c>
      <c r="C118" s="29" t="str">
        <f>'Web Test Cases'!B118</f>
        <v>SC-022</v>
      </c>
      <c r="D118" s="29" t="str">
        <f>'Web Test Cases'!L118</f>
        <v>Pass</v>
      </c>
      <c r="E118" s="31"/>
      <c r="F118" s="31"/>
      <c r="G118" s="31"/>
      <c r="H118" s="31"/>
      <c r="I118" s="31"/>
      <c r="J118" s="31"/>
      <c r="K118" s="31"/>
      <c r="L118" s="31"/>
      <c r="M118" s="31"/>
      <c r="N118" s="31"/>
      <c r="O118" s="31"/>
      <c r="P118" s="31"/>
      <c r="Q118" s="31"/>
      <c r="R118" s="31"/>
      <c r="S118" s="31"/>
      <c r="T118" s="31" t="s">
        <v>1141</v>
      </c>
      <c r="U118" s="31"/>
      <c r="V118" s="31"/>
      <c r="W118" s="31"/>
      <c r="X118" s="31"/>
    </row>
    <row r="119" spans="1:24" ht="35.25" customHeight="1" x14ac:dyDescent="0.3">
      <c r="A119" s="29" t="str">
        <f>'Web Test Cases'!A119</f>
        <v>TC_SRCH_POS_004</v>
      </c>
      <c r="B119" s="30" t="str">
        <f>'Web Test Cases'!D119</f>
        <v>Azərbaycan hərfləri ilə axtarış uyğun nəticə verir</v>
      </c>
      <c r="C119" s="29" t="str">
        <f>'Web Test Cases'!B119</f>
        <v>SC-022</v>
      </c>
      <c r="D119" s="29" t="str">
        <f>'Web Test Cases'!L119</f>
        <v>Pass</v>
      </c>
      <c r="E119" s="31"/>
      <c r="F119" s="31"/>
      <c r="G119" s="31"/>
      <c r="H119" s="31"/>
      <c r="I119" s="31"/>
      <c r="J119" s="31"/>
      <c r="K119" s="31"/>
      <c r="L119" s="31"/>
      <c r="M119" s="31"/>
      <c r="N119" s="31"/>
      <c r="O119" s="31"/>
      <c r="P119" s="31"/>
      <c r="Q119" s="31"/>
      <c r="R119" s="31"/>
      <c r="S119" s="31"/>
      <c r="T119" s="31" t="s">
        <v>1141</v>
      </c>
      <c r="U119" s="31"/>
      <c r="V119" s="31"/>
      <c r="W119" s="31"/>
      <c r="X119" s="31"/>
    </row>
    <row r="120" spans="1:24" ht="35.25" customHeight="1" x14ac:dyDescent="0.3">
      <c r="A120" s="29" t="str">
        <f>'Web Test Cases'!A120</f>
        <v>TC_SRCH_NEG_005</v>
      </c>
      <c r="B120" s="30" t="str">
        <f>'Web Test Cases'!D120</f>
        <v>Nəticəsiz sorğuda boş vəziyyət mesajı göstərilir</v>
      </c>
      <c r="C120" s="29" t="str">
        <f>'Web Test Cases'!B120</f>
        <v>SC-022</v>
      </c>
      <c r="D120" s="29" t="str">
        <f>'Web Test Cases'!L120</f>
        <v>Pass</v>
      </c>
      <c r="E120" s="31"/>
      <c r="F120" s="31"/>
      <c r="G120" s="31"/>
      <c r="H120" s="31"/>
      <c r="I120" s="31"/>
      <c r="J120" s="31"/>
      <c r="K120" s="31"/>
      <c r="L120" s="31"/>
      <c r="M120" s="31"/>
      <c r="N120" s="31"/>
      <c r="O120" s="31"/>
      <c r="P120" s="31"/>
      <c r="Q120" s="31"/>
      <c r="R120" s="31"/>
      <c r="S120" s="31"/>
      <c r="T120" s="31" t="s">
        <v>1141</v>
      </c>
      <c r="U120" s="31"/>
      <c r="V120" s="31"/>
      <c r="W120" s="31"/>
      <c r="X120" s="31"/>
    </row>
    <row r="121" spans="1:24" ht="35.25" customHeight="1" x14ac:dyDescent="0.3">
      <c r="A121" s="29" t="str">
        <f>'Web Test Cases'!A121</f>
        <v>TC_SRCH_NEG_006</v>
      </c>
      <c r="B121" s="30" t="str">
        <f>'Web Test Cases'!D121</f>
        <v>Boş və ya yalnız boşluqdan ibarət sorğuda 'Sorğu ən az 3 simvoldan ibarət olmalıdır' mesajı göstərilir</v>
      </c>
      <c r="C121" s="29" t="str">
        <f>'Web Test Cases'!B121</f>
        <v>SC-022</v>
      </c>
      <c r="D121" s="29" t="str">
        <f>'Web Test Cases'!L121</f>
        <v>Pass</v>
      </c>
      <c r="E121" s="31"/>
      <c r="F121" s="31"/>
      <c r="G121" s="31"/>
      <c r="H121" s="31"/>
      <c r="I121" s="31"/>
      <c r="J121" s="31"/>
      <c r="K121" s="31"/>
      <c r="L121" s="31"/>
      <c r="M121" s="31"/>
      <c r="N121" s="31"/>
      <c r="O121" s="31"/>
      <c r="P121" s="31"/>
      <c r="Q121" s="31"/>
      <c r="R121" s="31"/>
      <c r="S121" s="31"/>
      <c r="T121" s="31" t="s">
        <v>1141</v>
      </c>
      <c r="U121" s="31"/>
      <c r="V121" s="31"/>
      <c r="W121" s="31"/>
      <c r="X121" s="31"/>
    </row>
    <row r="122" spans="1:24" ht="35.25" customHeight="1" x14ac:dyDescent="0.3">
      <c r="A122" s="29" t="str">
        <f>'Web Test Cases'!A122</f>
        <v>TC_SRCH_NEG_007</v>
      </c>
      <c r="B122" s="30" t="str">
        <f>'Web Test Cases'!D122</f>
        <v>Xüsusi simvollu və çox uzun sorğu mətn kimi göstərilir, səhifə dağılmır</v>
      </c>
      <c r="C122" s="29" t="str">
        <f>'Web Test Cases'!B122</f>
        <v>SC-022</v>
      </c>
      <c r="D122" s="29" t="str">
        <f>'Web Test Cases'!L122</f>
        <v>Pass</v>
      </c>
      <c r="E122" s="31"/>
      <c r="F122" s="31"/>
      <c r="G122" s="31"/>
      <c r="H122" s="31"/>
      <c r="I122" s="31"/>
      <c r="J122" s="31"/>
      <c r="K122" s="31"/>
      <c r="L122" s="31"/>
      <c r="M122" s="31"/>
      <c r="N122" s="31"/>
      <c r="O122" s="31"/>
      <c r="P122" s="31"/>
      <c r="Q122" s="31"/>
      <c r="R122" s="31"/>
      <c r="S122" s="31"/>
      <c r="T122" s="31" t="s">
        <v>1141</v>
      </c>
      <c r="U122" s="31"/>
      <c r="V122" s="31"/>
      <c r="W122" s="31"/>
      <c r="X122" s="31"/>
    </row>
    <row r="123" spans="1:24" ht="35.25" customHeight="1" x14ac:dyDescent="0.3">
      <c r="A123" s="29" t="str">
        <f>'Web Test Cases'!A123</f>
        <v>TC_LOC_POS_001</v>
      </c>
      <c r="B123" s="30" t="str">
        <f>'Web Test Cases'!D123</f>
        <v>Dil dəyişəndə eyni səhifənin digər dil versiyası açılır</v>
      </c>
      <c r="C123" s="29" t="str">
        <f>'Web Test Cases'!B123</f>
        <v>SC-023</v>
      </c>
      <c r="D123" s="29" t="str">
        <f>'Web Test Cases'!L123</f>
        <v>Pass</v>
      </c>
      <c r="E123" s="31"/>
      <c r="F123" s="31"/>
      <c r="G123" s="31"/>
      <c r="H123" s="31"/>
      <c r="I123" s="31"/>
      <c r="J123" s="31"/>
      <c r="K123" s="31"/>
      <c r="L123" s="31"/>
      <c r="M123" s="31"/>
      <c r="N123" s="31" t="s">
        <v>1141</v>
      </c>
      <c r="O123" s="31"/>
      <c r="P123" s="31"/>
      <c r="Q123" s="31"/>
      <c r="R123" s="31"/>
      <c r="S123" s="31"/>
      <c r="T123" s="31"/>
      <c r="U123" s="31"/>
      <c r="V123" s="31"/>
      <c r="W123" s="31"/>
      <c r="X123" s="31"/>
    </row>
    <row r="124" spans="1:24" ht="35.25" customHeight="1" x14ac:dyDescent="0.3">
      <c r="A124" s="29" t="str">
        <f>'Web Test Cases'!A124</f>
        <v>TC_LOC_POS_002</v>
      </c>
      <c r="B124" s="30" t="str">
        <f>'Web Test Cases'!D124</f>
        <v>EN versiyada əsas UI elementləri ingiliscədir</v>
      </c>
      <c r="C124" s="29" t="str">
        <f>'Web Test Cases'!B124</f>
        <v>SC-023</v>
      </c>
      <c r="D124" s="29" t="str">
        <f>'Web Test Cases'!L124</f>
        <v>Pass</v>
      </c>
      <c r="E124" s="31"/>
      <c r="F124" s="31"/>
      <c r="G124" s="31"/>
      <c r="H124" s="31"/>
      <c r="I124" s="31"/>
      <c r="J124" s="31"/>
      <c r="K124" s="31"/>
      <c r="L124" s="31"/>
      <c r="M124" s="31"/>
      <c r="N124" s="31" t="s">
        <v>1141</v>
      </c>
      <c r="O124" s="31"/>
      <c r="P124" s="31"/>
      <c r="Q124" s="31"/>
      <c r="R124" s="31"/>
      <c r="S124" s="31"/>
      <c r="T124" s="31"/>
      <c r="U124" s="31"/>
      <c r="V124" s="31"/>
      <c r="W124" s="31"/>
      <c r="X124" s="31"/>
    </row>
    <row r="125" spans="1:24" ht="35.25" customHeight="1" x14ac:dyDescent="0.3">
      <c r="A125" s="29" t="str">
        <f>'Web Test Cases'!A125</f>
        <v>TC_LOC_UI_003</v>
      </c>
      <c r="B125" s="30" t="str">
        <f>'Web Test Cases'!D125</f>
        <v>AZ versiyada kateqoriya, filtr və menyu mətnləri tərcümə və orfoqrafiya səhvi olmadan göstərilir</v>
      </c>
      <c r="C125" s="29" t="str">
        <f>'Web Test Cases'!B125</f>
        <v>SC-023</v>
      </c>
      <c r="D125" s="29" t="str">
        <f>'Web Test Cases'!L125</f>
        <v>Fail</v>
      </c>
      <c r="E125" s="31"/>
      <c r="F125" s="31"/>
      <c r="G125" s="31"/>
      <c r="H125" s="31"/>
      <c r="I125" s="31"/>
      <c r="J125" s="31"/>
      <c r="K125" s="31"/>
      <c r="L125" s="31"/>
      <c r="M125" s="31"/>
      <c r="N125" s="31" t="s">
        <v>1141</v>
      </c>
      <c r="O125" s="31"/>
      <c r="P125" s="31"/>
      <c r="Q125" s="31"/>
      <c r="R125" s="31"/>
      <c r="S125" s="31"/>
      <c r="T125" s="31"/>
      <c r="U125" s="31"/>
      <c r="V125" s="31"/>
      <c r="W125" s="31"/>
      <c r="X125" s="31"/>
    </row>
    <row r="126" spans="1:24" ht="35.25" customHeight="1" x14ac:dyDescent="0.3">
      <c r="A126" s="29" t="str">
        <f>'Web Test Cases'!A126</f>
        <v>TC_INF_POS_001</v>
      </c>
      <c r="B126" s="30" t="str">
        <f>'Web Test Cases'!D126</f>
        <v>Trade In səhifəsi açılır, xidmətin şərtləri, addımları və qəbul edilən cihazlar göstərilir, EN və RU versiyaları açılır</v>
      </c>
      <c r="C126" s="29" t="str">
        <f>'Web Test Cases'!B126</f>
        <v>SC-024</v>
      </c>
      <c r="D126" s="29" t="str">
        <f>'Web Test Cases'!L126</f>
        <v>Pass</v>
      </c>
      <c r="E126" s="31"/>
      <c r="F126" s="31"/>
      <c r="G126" s="31"/>
      <c r="H126" s="31"/>
      <c r="I126" s="31"/>
      <c r="J126" s="31"/>
      <c r="K126" s="31"/>
      <c r="L126" s="31"/>
      <c r="M126" s="31"/>
      <c r="N126" s="31" t="s">
        <v>1141</v>
      </c>
      <c r="O126" s="31"/>
      <c r="P126" s="31"/>
      <c r="Q126" s="31"/>
      <c r="R126" s="31"/>
      <c r="S126" s="31"/>
      <c r="T126" s="31"/>
      <c r="U126" s="31"/>
      <c r="V126" s="31"/>
      <c r="W126" s="31"/>
      <c r="X126" s="31"/>
    </row>
    <row r="127" spans="1:24" ht="35.25" customHeight="1" x14ac:dyDescent="0.3">
      <c r="A127" s="29" t="str">
        <f>'Web Test Cases'!A127</f>
        <v>TC_INF_EDGE_002</v>
      </c>
      <c r="B127" s="30" t="str">
        <f>'Web Test Cases'!D127</f>
        <v>'Çatdırılma və ödəniş' səhifəsində Bakı üzrə kuryer çatdırılma müddəti mətndə və cədvəldə eyni yazılıb</v>
      </c>
      <c r="C127" s="29" t="str">
        <f>'Web Test Cases'!B127</f>
        <v>SC-024</v>
      </c>
      <c r="D127" s="29" t="str">
        <f>'Web Test Cases'!L127</f>
        <v>Pass</v>
      </c>
      <c r="E127" s="31"/>
      <c r="F127" s="31"/>
      <c r="G127" s="31"/>
      <c r="H127" s="31"/>
      <c r="I127" s="31"/>
      <c r="J127" s="31"/>
      <c r="K127" s="31"/>
      <c r="L127" s="31"/>
      <c r="M127" s="31"/>
      <c r="N127" s="31"/>
      <c r="O127" s="31"/>
      <c r="P127" s="31"/>
      <c r="Q127" s="31" t="s">
        <v>1141</v>
      </c>
      <c r="R127" s="31"/>
      <c r="S127" s="31"/>
      <c r="T127" s="31"/>
      <c r="U127" s="31"/>
      <c r="V127" s="31"/>
      <c r="W127" s="31"/>
      <c r="X127" s="31"/>
    </row>
    <row r="128" spans="1:24" ht="35.25" customHeight="1" x14ac:dyDescent="0.3">
      <c r="A128" s="29" t="str">
        <f>'Web Test Cases'!A128</f>
        <v>TC_INF_EDGE_003</v>
      </c>
      <c r="B128" s="30" t="str">
        <f>'Web Test Cases'!D128</f>
        <v>'Çatdırılma və ödəniş' səhifəsində rayonlara çatdırılma qiyməti və müddəti mətndə, cədvəldə və FAQ-da eyni yazılıb</v>
      </c>
      <c r="C128" s="29" t="str">
        <f>'Web Test Cases'!B128</f>
        <v>SC-024</v>
      </c>
      <c r="D128" s="29" t="str">
        <f>'Web Test Cases'!L128</f>
        <v>Pass</v>
      </c>
      <c r="E128" s="31"/>
      <c r="F128" s="31"/>
      <c r="G128" s="31"/>
      <c r="H128" s="31"/>
      <c r="I128" s="31"/>
      <c r="J128" s="31"/>
      <c r="K128" s="31"/>
      <c r="L128" s="31"/>
      <c r="M128" s="31"/>
      <c r="N128" s="31"/>
      <c r="O128" s="31"/>
      <c r="P128" s="31"/>
      <c r="Q128" s="31" t="s">
        <v>1141</v>
      </c>
      <c r="R128" s="31"/>
      <c r="S128" s="31"/>
      <c r="T128" s="31"/>
      <c r="U128" s="31"/>
      <c r="V128" s="31"/>
      <c r="W128" s="31"/>
      <c r="X128" s="31"/>
    </row>
    <row r="129" spans="1:24" ht="35.25" customHeight="1" x14ac:dyDescent="0.3">
      <c r="A129" s="29" t="str">
        <f>'Web Test Cases'!A129</f>
        <v>TC_LOC_UI_004</v>
      </c>
      <c r="B129" s="30" t="str">
        <f>'Web Test Cases'!D129</f>
        <v>AZ versiyada bütün iPhone modellərinin məhsul səhifəsində 'Ətraflı' bölməsi azərbaycanca göstərilir</v>
      </c>
      <c r="C129" s="29" t="str">
        <f>'Web Test Cases'!B129</f>
        <v>SC-023</v>
      </c>
      <c r="D129" s="29" t="str">
        <f>'Web Test Cases'!L129</f>
        <v>Fail</v>
      </c>
      <c r="E129" s="31"/>
      <c r="F129" s="31"/>
      <c r="G129" s="31"/>
      <c r="H129" s="31"/>
      <c r="I129" s="31"/>
      <c r="J129" s="31"/>
      <c r="K129" s="31"/>
      <c r="L129" s="31"/>
      <c r="M129" s="31"/>
      <c r="N129" s="31" t="s">
        <v>1141</v>
      </c>
      <c r="O129" s="31"/>
      <c r="P129" s="31"/>
      <c r="Q129" s="31"/>
      <c r="R129" s="31"/>
      <c r="S129" s="31"/>
      <c r="T129" s="31"/>
      <c r="U129" s="31"/>
      <c r="V129" s="31"/>
      <c r="W129" s="31"/>
      <c r="X129" s="31"/>
    </row>
    <row r="130" spans="1:24" ht="35.25" customHeight="1" x14ac:dyDescent="0.3">
      <c r="A130" s="29" t="str">
        <f>'Web Test Cases'!A130</f>
        <v>TC_LOC_UI_005</v>
      </c>
      <c r="B130" s="30" t="str">
        <f>'Web Test Cases'!D130</f>
        <v>RU versiyada iPhone kateqoriyasının başlıq blokundakı mətnlər rus dilindədir</v>
      </c>
      <c r="C130" s="29" t="str">
        <f>'Web Test Cases'!B130</f>
        <v>SC-023</v>
      </c>
      <c r="D130" s="29" t="str">
        <f>'Web Test Cases'!L130</f>
        <v>Fail</v>
      </c>
      <c r="E130" s="31"/>
      <c r="F130" s="31"/>
      <c r="G130" s="31"/>
      <c r="H130" s="31"/>
      <c r="I130" s="31"/>
      <c r="J130" s="31"/>
      <c r="K130" s="31"/>
      <c r="L130" s="31"/>
      <c r="M130" s="31"/>
      <c r="N130" s="31" t="s">
        <v>1141</v>
      </c>
      <c r="O130" s="31"/>
      <c r="P130" s="31"/>
      <c r="Q130" s="31"/>
      <c r="R130" s="31"/>
      <c r="S130" s="31"/>
      <c r="T130" s="31"/>
      <c r="U130" s="31"/>
      <c r="V130" s="31"/>
      <c r="W130" s="31"/>
      <c r="X130" s="31"/>
    </row>
    <row r="131" spans="1:24" x14ac:dyDescent="0.3">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row>
    <row r="132" spans="1:24" ht="20.25" customHeight="1" x14ac:dyDescent="0.3">
      <c r="A132" s="32"/>
      <c r="B132" s="33" t="s">
        <v>1142</v>
      </c>
      <c r="C132" s="34"/>
      <c r="D132" s="34"/>
      <c r="E132" s="18">
        <f t="shared" ref="E132:X132" si="0">COUNTIF(E5:E130,"✓")</f>
        <v>6</v>
      </c>
      <c r="F132" s="18">
        <f t="shared" si="0"/>
        <v>11</v>
      </c>
      <c r="G132" s="18">
        <f t="shared" si="0"/>
        <v>5</v>
      </c>
      <c r="H132" s="18">
        <f t="shared" si="0"/>
        <v>6</v>
      </c>
      <c r="I132" s="18">
        <f t="shared" si="0"/>
        <v>3</v>
      </c>
      <c r="J132" s="18">
        <f t="shared" si="0"/>
        <v>9</v>
      </c>
      <c r="K132" s="18">
        <f t="shared" si="0"/>
        <v>28</v>
      </c>
      <c r="L132" s="18">
        <f t="shared" si="0"/>
        <v>8</v>
      </c>
      <c r="M132" s="18">
        <f t="shared" si="0"/>
        <v>2</v>
      </c>
      <c r="N132" s="18">
        <f t="shared" si="0"/>
        <v>10</v>
      </c>
      <c r="O132" s="18">
        <f t="shared" si="0"/>
        <v>10</v>
      </c>
      <c r="P132" s="18">
        <f t="shared" si="0"/>
        <v>16</v>
      </c>
      <c r="Q132" s="18">
        <f t="shared" si="0"/>
        <v>6</v>
      </c>
      <c r="R132" s="18">
        <f t="shared" si="0"/>
        <v>3</v>
      </c>
      <c r="S132" s="18">
        <f t="shared" si="0"/>
        <v>9</v>
      </c>
      <c r="T132" s="18">
        <f t="shared" si="0"/>
        <v>7</v>
      </c>
      <c r="U132" s="18">
        <f t="shared" si="0"/>
        <v>12</v>
      </c>
      <c r="V132" s="18">
        <f t="shared" si="0"/>
        <v>9</v>
      </c>
      <c r="W132" s="18">
        <f t="shared" si="0"/>
        <v>6</v>
      </c>
      <c r="X132" s="18">
        <f t="shared" si="0"/>
        <v>3</v>
      </c>
    </row>
    <row r="133" spans="1:24" ht="20.25" customHeight="1" x14ac:dyDescent="0.3">
      <c r="A133" s="32"/>
      <c r="B133" s="33" t="s">
        <v>213</v>
      </c>
      <c r="C133" s="34"/>
      <c r="D133" s="34"/>
      <c r="E133" s="18">
        <f t="shared" ref="E133:X133" si="1">SUMPRODUCT((E5:E130="✓")*($D$5:$D$130="Pass"))</f>
        <v>6</v>
      </c>
      <c r="F133" s="18">
        <f t="shared" si="1"/>
        <v>11</v>
      </c>
      <c r="G133" s="18">
        <f t="shared" si="1"/>
        <v>5</v>
      </c>
      <c r="H133" s="18">
        <f t="shared" si="1"/>
        <v>6</v>
      </c>
      <c r="I133" s="18">
        <f t="shared" si="1"/>
        <v>3</v>
      </c>
      <c r="J133" s="18">
        <f t="shared" si="1"/>
        <v>9</v>
      </c>
      <c r="K133" s="18">
        <f t="shared" si="1"/>
        <v>25</v>
      </c>
      <c r="L133" s="18">
        <f t="shared" si="1"/>
        <v>4</v>
      </c>
      <c r="M133" s="18">
        <f t="shared" si="1"/>
        <v>2</v>
      </c>
      <c r="N133" s="18">
        <f t="shared" si="1"/>
        <v>6</v>
      </c>
      <c r="O133" s="18">
        <f t="shared" si="1"/>
        <v>9</v>
      </c>
      <c r="P133" s="18">
        <f t="shared" si="1"/>
        <v>16</v>
      </c>
      <c r="Q133" s="18">
        <f t="shared" si="1"/>
        <v>3</v>
      </c>
      <c r="R133" s="18">
        <f t="shared" si="1"/>
        <v>3</v>
      </c>
      <c r="S133" s="18">
        <f t="shared" si="1"/>
        <v>9</v>
      </c>
      <c r="T133" s="18">
        <f t="shared" si="1"/>
        <v>7</v>
      </c>
      <c r="U133" s="18">
        <f t="shared" si="1"/>
        <v>6</v>
      </c>
      <c r="V133" s="18">
        <f t="shared" si="1"/>
        <v>6</v>
      </c>
      <c r="W133" s="18">
        <f t="shared" si="1"/>
        <v>5</v>
      </c>
      <c r="X133" s="18">
        <f t="shared" si="1"/>
        <v>3</v>
      </c>
    </row>
    <row r="134" spans="1:24" ht="20.25" customHeight="1" x14ac:dyDescent="0.3">
      <c r="A134" s="32"/>
      <c r="B134" s="33" t="s">
        <v>430</v>
      </c>
      <c r="C134" s="34"/>
      <c r="D134" s="34"/>
      <c r="E134" s="18">
        <f t="shared" ref="E134:X134" si="2">SUMPRODUCT((E5:E130="✓")*($D$5:$D$130="Fail"))</f>
        <v>0</v>
      </c>
      <c r="F134" s="18">
        <f t="shared" si="2"/>
        <v>0</v>
      </c>
      <c r="G134" s="18">
        <f t="shared" si="2"/>
        <v>0</v>
      </c>
      <c r="H134" s="18">
        <f t="shared" si="2"/>
        <v>0</v>
      </c>
      <c r="I134" s="18">
        <f t="shared" si="2"/>
        <v>0</v>
      </c>
      <c r="J134" s="18">
        <f t="shared" si="2"/>
        <v>0</v>
      </c>
      <c r="K134" s="18">
        <f t="shared" si="2"/>
        <v>3</v>
      </c>
      <c r="L134" s="18">
        <f t="shared" si="2"/>
        <v>4</v>
      </c>
      <c r="M134" s="18">
        <f t="shared" si="2"/>
        <v>0</v>
      </c>
      <c r="N134" s="18">
        <f t="shared" si="2"/>
        <v>4</v>
      </c>
      <c r="O134" s="18">
        <f t="shared" si="2"/>
        <v>1</v>
      </c>
      <c r="P134" s="18">
        <f t="shared" si="2"/>
        <v>0</v>
      </c>
      <c r="Q134" s="18">
        <f t="shared" si="2"/>
        <v>3</v>
      </c>
      <c r="R134" s="18">
        <f t="shared" si="2"/>
        <v>0</v>
      </c>
      <c r="S134" s="18">
        <f t="shared" si="2"/>
        <v>0</v>
      </c>
      <c r="T134" s="18">
        <f t="shared" si="2"/>
        <v>0</v>
      </c>
      <c r="U134" s="18">
        <f t="shared" si="2"/>
        <v>6</v>
      </c>
      <c r="V134" s="18">
        <f t="shared" si="2"/>
        <v>3</v>
      </c>
      <c r="W134" s="18">
        <f t="shared" si="2"/>
        <v>1</v>
      </c>
      <c r="X134" s="18">
        <f t="shared" si="2"/>
        <v>0</v>
      </c>
    </row>
    <row r="135" spans="1:24" ht="85.5" customHeight="1" x14ac:dyDescent="0.3">
      <c r="A135" s="32"/>
      <c r="B135" s="33" t="s">
        <v>1143</v>
      </c>
      <c r="C135" s="34"/>
      <c r="D135" s="34"/>
      <c r="E135" s="35" t="str">
        <f t="shared" ref="E135:X135" si="3">IF(E132=0,"Əhatə yoxdur",IF(E134&gt;0,"Fail var","PASS"))</f>
        <v>PASS</v>
      </c>
      <c r="F135" s="35" t="str">
        <f t="shared" si="3"/>
        <v>PASS</v>
      </c>
      <c r="G135" s="35" t="str">
        <f t="shared" si="3"/>
        <v>PASS</v>
      </c>
      <c r="H135" s="35" t="str">
        <f t="shared" si="3"/>
        <v>PASS</v>
      </c>
      <c r="I135" s="35" t="str">
        <f t="shared" si="3"/>
        <v>PASS</v>
      </c>
      <c r="J135" s="35" t="str">
        <f t="shared" si="3"/>
        <v>PASS</v>
      </c>
      <c r="K135" s="35" t="str">
        <f t="shared" si="3"/>
        <v>Fail var</v>
      </c>
      <c r="L135" s="35" t="str">
        <f t="shared" si="3"/>
        <v>Fail var</v>
      </c>
      <c r="M135" s="35" t="str">
        <f t="shared" si="3"/>
        <v>PASS</v>
      </c>
      <c r="N135" s="35" t="str">
        <f t="shared" si="3"/>
        <v>Fail var</v>
      </c>
      <c r="O135" s="35" t="str">
        <f t="shared" si="3"/>
        <v>Fail var</v>
      </c>
      <c r="P135" s="35" t="str">
        <f t="shared" si="3"/>
        <v>PASS</v>
      </c>
      <c r="Q135" s="35" t="str">
        <f t="shared" si="3"/>
        <v>Fail var</v>
      </c>
      <c r="R135" s="35" t="str">
        <f t="shared" si="3"/>
        <v>PASS</v>
      </c>
      <c r="S135" s="35" t="str">
        <f t="shared" si="3"/>
        <v>PASS</v>
      </c>
      <c r="T135" s="35" t="str">
        <f t="shared" si="3"/>
        <v>PASS</v>
      </c>
      <c r="U135" s="35" t="str">
        <f t="shared" si="3"/>
        <v>Fail var</v>
      </c>
      <c r="V135" s="35" t="str">
        <f t="shared" si="3"/>
        <v>Fail var</v>
      </c>
      <c r="W135" s="35" t="str">
        <f t="shared" si="3"/>
        <v>Fail var</v>
      </c>
      <c r="X135" s="35" t="str">
        <f t="shared" si="3"/>
        <v>PASS</v>
      </c>
    </row>
    <row r="136" spans="1:24" ht="69.75" customHeight="1" x14ac:dyDescent="0.3">
      <c r="B136" s="36"/>
      <c r="E136" s="37"/>
      <c r="F136" s="37"/>
      <c r="G136" s="37"/>
      <c r="H136" s="37"/>
      <c r="I136" s="37"/>
      <c r="J136" s="37"/>
      <c r="K136" s="37"/>
      <c r="L136" s="37"/>
      <c r="M136" s="37"/>
      <c r="N136" s="37"/>
      <c r="O136" s="37"/>
      <c r="P136" s="37"/>
      <c r="Q136" s="37"/>
      <c r="R136" s="37"/>
      <c r="S136" s="37"/>
      <c r="T136" s="37"/>
      <c r="U136" s="37"/>
      <c r="V136" s="37"/>
      <c r="W136" s="37"/>
      <c r="X136" s="37"/>
    </row>
  </sheetData>
  <mergeCells count="1">
    <mergeCell ref="A2:H2"/>
  </mergeCells>
  <conditionalFormatting sqref="D5:D131">
    <cfRule type="cellIs" dxfId="3" priority="2" operator="equal">
      <formula>"Fail"</formula>
    </cfRule>
    <cfRule type="cellIs" dxfId="2" priority="3" operator="equal">
      <formula>"Pass"</formula>
    </cfRule>
  </conditionalFormatting>
  <conditionalFormatting sqref="E136:X136">
    <cfRule type="cellIs" dxfId="1" priority="4" operator="equal">
      <formula>"PASS"</formula>
    </cfRule>
    <cfRule type="cellIs" dxfId="0" priority="5" operator="equal">
      <formula>"Fail var"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zoomScaleNormal="100" workbookViewId="0">
      <pane ySplit="4" topLeftCell="A5" activePane="bottomLeft" state="frozen"/>
      <selection pane="bottomLeft" activeCell="H9" sqref="H9"/>
    </sheetView>
  </sheetViews>
  <sheetFormatPr defaultColWidth="8.6640625" defaultRowHeight="14.4" x14ac:dyDescent="0.3"/>
  <cols>
    <col min="1" max="1" width="8" customWidth="1"/>
    <col min="2" max="2" width="12" customWidth="1"/>
    <col min="3" max="3" width="34" customWidth="1"/>
    <col min="4" max="4" width="70" customWidth="1"/>
    <col min="5" max="5" width="45" customWidth="1"/>
  </cols>
  <sheetData>
    <row r="1" spans="1:5" ht="17.25" customHeight="1" x14ac:dyDescent="0.3">
      <c r="A1" s="11" t="s">
        <v>1144</v>
      </c>
    </row>
    <row r="2" spans="1:5" ht="15" customHeight="1" x14ac:dyDescent="0.3">
      <c r="A2" s="12"/>
    </row>
    <row r="4" spans="1:5" ht="36" customHeight="1" x14ac:dyDescent="0.3">
      <c r="A4" s="17" t="s">
        <v>1145</v>
      </c>
      <c r="B4" s="17" t="s">
        <v>1146</v>
      </c>
      <c r="C4" s="17" t="s">
        <v>1147</v>
      </c>
      <c r="D4" s="17" t="s">
        <v>1148</v>
      </c>
      <c r="E4" s="17" t="s">
        <v>1149</v>
      </c>
    </row>
    <row r="5" spans="1:5" ht="38.25" customHeight="1" x14ac:dyDescent="0.3">
      <c r="A5" s="18" t="s">
        <v>544</v>
      </c>
      <c r="B5" s="24" t="s">
        <v>108</v>
      </c>
      <c r="C5" s="19" t="s">
        <v>1150</v>
      </c>
      <c r="D5" s="19" t="s">
        <v>1151</v>
      </c>
      <c r="E5" s="19" t="s">
        <v>1152</v>
      </c>
    </row>
    <row r="6" spans="1:5" ht="38.25" customHeight="1" x14ac:dyDescent="0.3">
      <c r="A6" s="18" t="s">
        <v>302</v>
      </c>
      <c r="B6" s="24" t="s">
        <v>108</v>
      </c>
      <c r="C6" s="19" t="s">
        <v>1153</v>
      </c>
      <c r="D6" s="19" t="s">
        <v>1154</v>
      </c>
      <c r="E6" s="19" t="s">
        <v>1155</v>
      </c>
    </row>
    <row r="7" spans="1:5" ht="38.25" customHeight="1" x14ac:dyDescent="0.3">
      <c r="A7" s="18" t="s">
        <v>1156</v>
      </c>
      <c r="B7" s="24" t="s">
        <v>108</v>
      </c>
      <c r="C7" s="19" t="s">
        <v>1157</v>
      </c>
      <c r="D7" s="19" t="s">
        <v>1158</v>
      </c>
      <c r="E7" s="19" t="s">
        <v>1159</v>
      </c>
    </row>
    <row r="8" spans="1:5" ht="38.25" customHeight="1" x14ac:dyDescent="0.3">
      <c r="A8" s="18" t="s">
        <v>473</v>
      </c>
      <c r="B8" s="25" t="s">
        <v>278</v>
      </c>
      <c r="C8" s="19" t="s">
        <v>1160</v>
      </c>
      <c r="D8" s="19" t="s">
        <v>1161</v>
      </c>
      <c r="E8" s="19" t="s">
        <v>1162</v>
      </c>
    </row>
    <row r="9" spans="1:5" ht="38.25" customHeight="1" x14ac:dyDescent="0.3">
      <c r="A9" s="18" t="s">
        <v>1163</v>
      </c>
      <c r="B9" s="25" t="s">
        <v>278</v>
      </c>
      <c r="C9" s="19" t="s">
        <v>1164</v>
      </c>
      <c r="D9" s="19" t="s">
        <v>1165</v>
      </c>
      <c r="E9" s="19" t="s">
        <v>1166</v>
      </c>
    </row>
    <row r="10" spans="1:5" ht="38.25" customHeight="1" x14ac:dyDescent="0.3">
      <c r="A10" s="18" t="s">
        <v>858</v>
      </c>
      <c r="B10" s="25" t="s">
        <v>278</v>
      </c>
      <c r="C10" s="19" t="s">
        <v>1167</v>
      </c>
      <c r="D10" s="19" t="s">
        <v>1168</v>
      </c>
      <c r="E10" s="19" t="s">
        <v>1169</v>
      </c>
    </row>
    <row r="11" spans="1:5" ht="38.25" customHeight="1" x14ac:dyDescent="0.3">
      <c r="A11" s="18" t="s">
        <v>1170</v>
      </c>
      <c r="B11" s="25" t="s">
        <v>278</v>
      </c>
      <c r="C11" s="19" t="s">
        <v>1171</v>
      </c>
      <c r="D11" s="19" t="s">
        <v>1172</v>
      </c>
      <c r="E11" s="19" t="s">
        <v>1173</v>
      </c>
    </row>
    <row r="12" spans="1:5" ht="38.25" customHeight="1" x14ac:dyDescent="0.3">
      <c r="A12" s="18" t="s">
        <v>537</v>
      </c>
      <c r="B12" s="25" t="s">
        <v>278</v>
      </c>
      <c r="C12" s="19" t="s">
        <v>1174</v>
      </c>
      <c r="D12" s="19" t="s">
        <v>1175</v>
      </c>
      <c r="E12" s="19" t="s">
        <v>1176</v>
      </c>
    </row>
    <row r="13" spans="1:5" ht="29.25" customHeight="1" x14ac:dyDescent="0.3">
      <c r="A13" s="38"/>
      <c r="B13" s="39"/>
      <c r="C13" s="39"/>
      <c r="D13" s="39"/>
      <c r="E13" s="39"/>
    </row>
    <row r="14" spans="1:5" ht="30" customHeight="1" x14ac:dyDescent="0.3">
      <c r="A14" s="40"/>
      <c r="B14" s="40"/>
      <c r="C14" s="40"/>
      <c r="D14" s="40"/>
      <c r="E14" s="40"/>
    </row>
    <row r="15" spans="1:5" ht="26.25" customHeight="1" x14ac:dyDescent="0.3">
      <c r="A15" s="41" t="s">
        <v>1177</v>
      </c>
      <c r="B15" s="42"/>
      <c r="C15" s="43"/>
      <c r="D15" s="43"/>
      <c r="E15" s="44"/>
    </row>
    <row r="16" spans="1:5" ht="26.25" customHeight="1" x14ac:dyDescent="0.3">
      <c r="A16" s="8" t="s">
        <v>1178</v>
      </c>
      <c r="B16" s="8"/>
      <c r="C16" s="8"/>
      <c r="D16" s="8"/>
      <c r="E16" s="8"/>
    </row>
    <row r="17" spans="1:5" ht="26.25" customHeight="1" x14ac:dyDescent="0.3">
      <c r="A17" s="8" t="s">
        <v>1179</v>
      </c>
      <c r="B17" s="8"/>
      <c r="C17" s="8"/>
      <c r="D17" s="8"/>
      <c r="E17" s="8"/>
    </row>
    <row r="18" spans="1:5" ht="26.25" customHeight="1" x14ac:dyDescent="0.3">
      <c r="A18" s="8" t="s">
        <v>1180</v>
      </c>
      <c r="B18" s="8"/>
      <c r="C18" s="8"/>
      <c r="D18" s="8"/>
      <c r="E18" s="8"/>
    </row>
    <row r="19" spans="1:5" ht="26.25" customHeight="1" x14ac:dyDescent="0.3">
      <c r="A19" s="8" t="s">
        <v>1181</v>
      </c>
      <c r="B19" s="8"/>
      <c r="C19" s="8"/>
      <c r="D19" s="8"/>
      <c r="E19" s="8"/>
    </row>
    <row r="20" spans="1:5" ht="44.25" customHeight="1" x14ac:dyDescent="0.3">
      <c r="A20" s="8" t="s">
        <v>1182</v>
      </c>
      <c r="B20" s="8"/>
      <c r="C20" s="8"/>
      <c r="D20" s="8"/>
      <c r="E20" s="8"/>
    </row>
  </sheetData>
  <mergeCells count="5">
    <mergeCell ref="A16:E16"/>
    <mergeCell ref="A17:E17"/>
    <mergeCell ref="A18:E18"/>
    <mergeCell ref="A19:E19"/>
    <mergeCell ref="A20:E2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8"/>
  <sheetViews>
    <sheetView zoomScaleNormal="100" workbookViewId="0">
      <pane xSplit="1" ySplit="4" topLeftCell="B5" activePane="bottomRight" state="frozen"/>
      <selection pane="topRight" activeCell="B1" sqref="B1"/>
      <selection pane="bottomLeft" activeCell="A5" sqref="A5"/>
      <selection pane="bottomRight" activeCell="E6" sqref="E6"/>
    </sheetView>
  </sheetViews>
  <sheetFormatPr defaultColWidth="8.6640625" defaultRowHeight="14.4" x14ac:dyDescent="0.3"/>
  <cols>
    <col min="1" max="1" width="15.88671875" customWidth="1"/>
    <col min="2" max="2" width="40" customWidth="1"/>
    <col min="3" max="3" width="28.88671875" customWidth="1"/>
    <col min="4" max="4" width="25.109375" customWidth="1"/>
    <col min="5" max="5" width="46.6640625" customWidth="1"/>
    <col min="6" max="6" width="32" customWidth="1"/>
    <col min="7" max="7" width="42" customWidth="1"/>
    <col min="8" max="8" width="12" customWidth="1"/>
    <col min="9" max="9" width="10" customWidth="1"/>
    <col min="10" max="10" width="11" customWidth="1"/>
    <col min="11" max="11" width="17" customWidth="1"/>
    <col min="12" max="12" width="24" customWidth="1"/>
    <col min="13" max="13" width="27" customWidth="1"/>
  </cols>
  <sheetData>
    <row r="1" spans="1:13" ht="17.25" customHeight="1" x14ac:dyDescent="0.3">
      <c r="A1" s="11" t="s">
        <v>1183</v>
      </c>
    </row>
    <row r="2" spans="1:13" ht="17.25" customHeight="1" x14ac:dyDescent="0.3">
      <c r="A2" s="11"/>
    </row>
    <row r="4" spans="1:13" ht="45.75" customHeight="1" x14ac:dyDescent="0.3">
      <c r="A4" s="17" t="s">
        <v>201</v>
      </c>
      <c r="B4" s="17" t="s">
        <v>1135</v>
      </c>
      <c r="C4" s="17" t="s">
        <v>103</v>
      </c>
      <c r="D4" s="17" t="s">
        <v>4</v>
      </c>
      <c r="E4" s="17" t="s">
        <v>1184</v>
      </c>
      <c r="F4" s="17" t="s">
        <v>195</v>
      </c>
      <c r="G4" s="17" t="s">
        <v>196</v>
      </c>
      <c r="H4" s="17" t="s">
        <v>1185</v>
      </c>
      <c r="I4" s="17" t="s">
        <v>1186</v>
      </c>
      <c r="J4" s="17" t="s">
        <v>1187</v>
      </c>
      <c r="K4" s="17" t="s">
        <v>197</v>
      </c>
      <c r="L4" s="17" t="s">
        <v>1188</v>
      </c>
      <c r="M4" s="17" t="s">
        <v>1189</v>
      </c>
    </row>
    <row r="5" spans="1:13" ht="81" customHeight="1" x14ac:dyDescent="0.3">
      <c r="A5" s="18" t="s">
        <v>1190</v>
      </c>
      <c r="B5" s="19" t="s">
        <v>1191</v>
      </c>
      <c r="C5" s="19" t="s">
        <v>1192</v>
      </c>
      <c r="D5" s="19" t="s">
        <v>1193</v>
      </c>
      <c r="E5" s="19" t="s">
        <v>1194</v>
      </c>
      <c r="F5" s="19" t="s">
        <v>1195</v>
      </c>
      <c r="G5" s="19" t="s">
        <v>1196</v>
      </c>
      <c r="H5" s="19" t="s">
        <v>218</v>
      </c>
      <c r="I5" s="19" t="s">
        <v>218</v>
      </c>
      <c r="J5" s="19" t="s">
        <v>1197</v>
      </c>
      <c r="K5" s="45" t="s">
        <v>1198</v>
      </c>
      <c r="L5" s="19" t="s">
        <v>1199</v>
      </c>
      <c r="M5" s="19" t="s">
        <v>384</v>
      </c>
    </row>
    <row r="6" spans="1:13" ht="81" customHeight="1" x14ac:dyDescent="0.3">
      <c r="A6" s="18" t="s">
        <v>1200</v>
      </c>
      <c r="B6" s="19" t="s">
        <v>1201</v>
      </c>
      <c r="C6" s="19" t="s">
        <v>1202</v>
      </c>
      <c r="D6" s="19" t="s">
        <v>1193</v>
      </c>
      <c r="E6" s="19" t="s">
        <v>1203</v>
      </c>
      <c r="F6" s="19" t="s">
        <v>1204</v>
      </c>
      <c r="G6" s="19" t="s">
        <v>1205</v>
      </c>
      <c r="H6" s="19" t="s">
        <v>1206</v>
      </c>
      <c r="I6" s="19" t="s">
        <v>1207</v>
      </c>
      <c r="J6" s="19"/>
      <c r="K6" s="46" t="s">
        <v>1208</v>
      </c>
      <c r="L6" s="19" t="s">
        <v>1209</v>
      </c>
      <c r="M6" s="19" t="s">
        <v>594</v>
      </c>
    </row>
    <row r="7" spans="1:13" ht="98.25" customHeight="1" x14ac:dyDescent="0.3">
      <c r="A7" s="18" t="s">
        <v>1210</v>
      </c>
      <c r="B7" s="19" t="s">
        <v>1211</v>
      </c>
      <c r="C7" s="19" t="s">
        <v>17</v>
      </c>
      <c r="D7" s="19" t="s">
        <v>1193</v>
      </c>
      <c r="E7" s="19" t="s">
        <v>1212</v>
      </c>
      <c r="F7" s="19" t="s">
        <v>1213</v>
      </c>
      <c r="G7" s="19" t="s">
        <v>1214</v>
      </c>
      <c r="H7" s="19" t="s">
        <v>218</v>
      </c>
      <c r="I7" s="19" t="s">
        <v>218</v>
      </c>
      <c r="J7" s="19" t="s">
        <v>1215</v>
      </c>
      <c r="K7" s="19" t="s">
        <v>1216</v>
      </c>
      <c r="L7" s="19" t="s">
        <v>1217</v>
      </c>
      <c r="M7" s="19" t="s">
        <v>942</v>
      </c>
    </row>
    <row r="8" spans="1:13" ht="81" customHeight="1" x14ac:dyDescent="0.3">
      <c r="A8" s="18" t="s">
        <v>1218</v>
      </c>
      <c r="B8" s="19" t="s">
        <v>1219</v>
      </c>
      <c r="C8" s="19" t="s">
        <v>17</v>
      </c>
      <c r="D8" s="19" t="s">
        <v>1193</v>
      </c>
      <c r="E8" s="19" t="s">
        <v>1220</v>
      </c>
      <c r="F8" s="19" t="s">
        <v>218</v>
      </c>
      <c r="G8" s="19" t="s">
        <v>1221</v>
      </c>
      <c r="H8" s="19" t="s">
        <v>218</v>
      </c>
      <c r="I8" s="19" t="s">
        <v>218</v>
      </c>
      <c r="J8" s="19" t="s">
        <v>218</v>
      </c>
      <c r="K8" s="45" t="s">
        <v>1222</v>
      </c>
      <c r="L8" s="19" t="s">
        <v>218</v>
      </c>
      <c r="M8" s="19" t="s">
        <v>837</v>
      </c>
    </row>
    <row r="9" spans="1:13" ht="81" customHeight="1" x14ac:dyDescent="0.3">
      <c r="A9" s="18" t="s">
        <v>1112</v>
      </c>
      <c r="B9" s="19" t="s">
        <v>1223</v>
      </c>
      <c r="C9" s="19" t="s">
        <v>1224</v>
      </c>
      <c r="D9" s="19" t="s">
        <v>1193</v>
      </c>
      <c r="E9" s="19" t="s">
        <v>1225</v>
      </c>
      <c r="F9" s="19" t="s">
        <v>1226</v>
      </c>
      <c r="G9" s="19" t="s">
        <v>1227</v>
      </c>
      <c r="H9" s="19" t="s">
        <v>1228</v>
      </c>
      <c r="I9" s="19" t="s">
        <v>1207</v>
      </c>
      <c r="J9" s="19"/>
      <c r="K9" s="47" t="s">
        <v>1229</v>
      </c>
      <c r="L9" s="19" t="s">
        <v>1230</v>
      </c>
      <c r="M9" s="19" t="s">
        <v>1105</v>
      </c>
    </row>
    <row r="10" spans="1:13" ht="81" customHeight="1" x14ac:dyDescent="0.3">
      <c r="A10" s="18" t="s">
        <v>1076</v>
      </c>
      <c r="B10" s="19" t="s">
        <v>1231</v>
      </c>
      <c r="C10" s="19" t="s">
        <v>1232</v>
      </c>
      <c r="D10" s="19" t="s">
        <v>1193</v>
      </c>
      <c r="E10" s="19" t="s">
        <v>1233</v>
      </c>
      <c r="F10" s="19" t="s">
        <v>1234</v>
      </c>
      <c r="G10" s="19" t="s">
        <v>1235</v>
      </c>
      <c r="H10" s="19" t="s">
        <v>1228</v>
      </c>
      <c r="I10" s="19" t="s">
        <v>1236</v>
      </c>
      <c r="J10" s="19" t="s">
        <v>1237</v>
      </c>
      <c r="K10" s="47" t="s">
        <v>1229</v>
      </c>
      <c r="L10" s="19" t="s">
        <v>1230</v>
      </c>
      <c r="M10" s="19" t="s">
        <v>1071</v>
      </c>
    </row>
    <row r="11" spans="1:13" ht="81" customHeight="1" x14ac:dyDescent="0.3">
      <c r="A11" s="18" t="s">
        <v>1238</v>
      </c>
      <c r="B11" s="19" t="s">
        <v>1239</v>
      </c>
      <c r="C11" s="19" t="s">
        <v>1240</v>
      </c>
      <c r="D11" s="19" t="s">
        <v>1193</v>
      </c>
      <c r="E11" s="19" t="s">
        <v>1241</v>
      </c>
      <c r="F11" s="19" t="s">
        <v>1242</v>
      </c>
      <c r="G11" s="19" t="s">
        <v>1243</v>
      </c>
      <c r="H11" s="19" t="s">
        <v>1206</v>
      </c>
      <c r="I11" s="19" t="s">
        <v>1207</v>
      </c>
      <c r="J11" s="19"/>
      <c r="K11" s="47" t="s">
        <v>1208</v>
      </c>
      <c r="L11" s="19" t="s">
        <v>1230</v>
      </c>
      <c r="M11" s="19" t="s">
        <v>601</v>
      </c>
    </row>
    <row r="12" spans="1:13" ht="81" customHeight="1" x14ac:dyDescent="0.3">
      <c r="A12" s="18" t="s">
        <v>1244</v>
      </c>
      <c r="B12" s="19" t="s">
        <v>1245</v>
      </c>
      <c r="C12" s="19" t="s">
        <v>1246</v>
      </c>
      <c r="D12" s="19" t="s">
        <v>1193</v>
      </c>
      <c r="E12" s="19" t="s">
        <v>1247</v>
      </c>
      <c r="F12" s="19" t="s">
        <v>1248</v>
      </c>
      <c r="G12" s="19" t="s">
        <v>1249</v>
      </c>
      <c r="H12" s="19" t="s">
        <v>1228</v>
      </c>
      <c r="I12" s="19" t="s">
        <v>1236</v>
      </c>
      <c r="J12" s="19"/>
      <c r="K12" s="48" t="s">
        <v>1250</v>
      </c>
      <c r="L12" s="19" t="s">
        <v>1230</v>
      </c>
      <c r="M12" s="19" t="s">
        <v>1071</v>
      </c>
    </row>
    <row r="13" spans="1:13" ht="81" customHeight="1" x14ac:dyDescent="0.3">
      <c r="A13" s="18" t="s">
        <v>1251</v>
      </c>
      <c r="B13" s="19" t="s">
        <v>1252</v>
      </c>
      <c r="C13" s="19" t="s">
        <v>1253</v>
      </c>
      <c r="D13" s="19" t="s">
        <v>1193</v>
      </c>
      <c r="E13" s="19" t="s">
        <v>1254</v>
      </c>
      <c r="F13" s="19" t="s">
        <v>1255</v>
      </c>
      <c r="G13" s="19" t="s">
        <v>1256</v>
      </c>
      <c r="H13" s="19" t="s">
        <v>1228</v>
      </c>
      <c r="I13" s="19" t="s">
        <v>1236</v>
      </c>
      <c r="J13" s="19" t="s">
        <v>1197</v>
      </c>
      <c r="K13" s="45" t="s">
        <v>1198</v>
      </c>
      <c r="L13" s="19" t="s">
        <v>1257</v>
      </c>
      <c r="M13" s="19" t="s">
        <v>556</v>
      </c>
    </row>
    <row r="14" spans="1:13" ht="81" customHeight="1" x14ac:dyDescent="0.3">
      <c r="A14" s="18" t="s">
        <v>1258</v>
      </c>
      <c r="B14" s="19" t="s">
        <v>1259</v>
      </c>
      <c r="C14" s="19" t="s">
        <v>1253</v>
      </c>
      <c r="D14" s="19" t="s">
        <v>1193</v>
      </c>
      <c r="E14" s="19" t="s">
        <v>1260</v>
      </c>
      <c r="F14" s="19" t="s">
        <v>1261</v>
      </c>
      <c r="G14" s="19" t="s">
        <v>1262</v>
      </c>
      <c r="H14" s="19" t="s">
        <v>1228</v>
      </c>
      <c r="I14" s="19" t="s">
        <v>1236</v>
      </c>
      <c r="J14" s="19" t="s">
        <v>1197</v>
      </c>
      <c r="K14" s="45" t="s">
        <v>1198</v>
      </c>
      <c r="L14" s="19" t="s">
        <v>1257</v>
      </c>
      <c r="M14" s="19" t="s">
        <v>556</v>
      </c>
    </row>
    <row r="15" spans="1:13" ht="81" customHeight="1" x14ac:dyDescent="0.3">
      <c r="A15" s="18" t="s">
        <v>432</v>
      </c>
      <c r="B15" s="19" t="s">
        <v>1263</v>
      </c>
      <c r="C15" s="19" t="s">
        <v>1264</v>
      </c>
      <c r="D15" s="19" t="s">
        <v>1193</v>
      </c>
      <c r="E15" s="19" t="s">
        <v>1265</v>
      </c>
      <c r="F15" s="19" t="s">
        <v>1266</v>
      </c>
      <c r="G15" s="19" t="s">
        <v>1267</v>
      </c>
      <c r="H15" s="19" t="s">
        <v>1228</v>
      </c>
      <c r="I15" s="19" t="s">
        <v>1207</v>
      </c>
      <c r="J15" s="19" t="s">
        <v>1268</v>
      </c>
      <c r="K15" s="47" t="s">
        <v>1229</v>
      </c>
      <c r="L15" s="19" t="s">
        <v>1230</v>
      </c>
      <c r="M15" s="19" t="s">
        <v>422</v>
      </c>
    </row>
    <row r="16" spans="1:13" ht="81" customHeight="1" x14ac:dyDescent="0.3">
      <c r="A16" s="18" t="s">
        <v>1269</v>
      </c>
      <c r="B16" s="19" t="s">
        <v>1270</v>
      </c>
      <c r="C16" s="19" t="s">
        <v>1271</v>
      </c>
      <c r="D16" s="19" t="s">
        <v>1193</v>
      </c>
      <c r="E16" s="19" t="s">
        <v>1272</v>
      </c>
      <c r="F16" s="19" t="s">
        <v>1273</v>
      </c>
      <c r="G16" s="19" t="s">
        <v>1274</v>
      </c>
      <c r="H16" s="19" t="s">
        <v>1228</v>
      </c>
      <c r="I16" s="19" t="s">
        <v>1207</v>
      </c>
      <c r="J16" s="19"/>
      <c r="K16" s="48" t="s">
        <v>1250</v>
      </c>
      <c r="L16" s="19" t="s">
        <v>1230</v>
      </c>
      <c r="M16" s="19" t="s">
        <v>1071</v>
      </c>
    </row>
    <row r="17" spans="1:13" ht="81" customHeight="1" x14ac:dyDescent="0.3">
      <c r="A17" s="18" t="s">
        <v>1275</v>
      </c>
      <c r="B17" s="19" t="s">
        <v>1276</v>
      </c>
      <c r="C17" s="19" t="s">
        <v>1253</v>
      </c>
      <c r="D17" s="19" t="s">
        <v>1193</v>
      </c>
      <c r="E17" s="19" t="s">
        <v>1277</v>
      </c>
      <c r="F17" s="19" t="s">
        <v>1278</v>
      </c>
      <c r="G17" s="19" t="s">
        <v>1279</v>
      </c>
      <c r="H17" s="19" t="s">
        <v>1228</v>
      </c>
      <c r="I17" s="19" t="s">
        <v>1236</v>
      </c>
      <c r="J17" s="19" t="s">
        <v>1197</v>
      </c>
      <c r="K17" s="45" t="s">
        <v>1198</v>
      </c>
      <c r="L17" s="19" t="s">
        <v>1257</v>
      </c>
      <c r="M17" s="19" t="s">
        <v>556</v>
      </c>
    </row>
    <row r="18" spans="1:13" ht="81" customHeight="1" x14ac:dyDescent="0.3">
      <c r="A18" s="18" t="s">
        <v>1280</v>
      </c>
      <c r="B18" s="19" t="s">
        <v>1281</v>
      </c>
      <c r="C18" s="19" t="s">
        <v>1282</v>
      </c>
      <c r="D18" s="19" t="s">
        <v>1193</v>
      </c>
      <c r="E18" s="19" t="s">
        <v>1283</v>
      </c>
      <c r="F18" s="19" t="s">
        <v>1284</v>
      </c>
      <c r="G18" s="19" t="s">
        <v>1285</v>
      </c>
      <c r="H18" s="19" t="s">
        <v>1206</v>
      </c>
      <c r="I18" s="19" t="s">
        <v>1207</v>
      </c>
      <c r="J18" s="19"/>
      <c r="K18" s="48" t="s">
        <v>1250</v>
      </c>
      <c r="L18" s="19" t="s">
        <v>1230</v>
      </c>
      <c r="M18" s="19" t="s">
        <v>1286</v>
      </c>
    </row>
    <row r="19" spans="1:13" ht="81" customHeight="1" x14ac:dyDescent="0.3">
      <c r="A19" s="18" t="s">
        <v>1287</v>
      </c>
      <c r="B19" s="19" t="s">
        <v>1288</v>
      </c>
      <c r="C19" s="19" t="s">
        <v>1289</v>
      </c>
      <c r="D19" s="19" t="s">
        <v>1193</v>
      </c>
      <c r="E19" s="19" t="s">
        <v>1290</v>
      </c>
      <c r="F19" s="19" t="s">
        <v>1291</v>
      </c>
      <c r="G19" s="19" t="s">
        <v>1292</v>
      </c>
      <c r="H19" s="19" t="s">
        <v>1228</v>
      </c>
      <c r="I19" s="19" t="s">
        <v>1207</v>
      </c>
      <c r="J19" s="19"/>
      <c r="K19" s="48" t="s">
        <v>1250</v>
      </c>
      <c r="L19" s="19" t="s">
        <v>1230</v>
      </c>
      <c r="M19" s="19" t="s">
        <v>639</v>
      </c>
    </row>
    <row r="20" spans="1:13" ht="107.25" customHeight="1" x14ac:dyDescent="0.3">
      <c r="A20" s="18" t="s">
        <v>679</v>
      </c>
      <c r="B20" s="19" t="s">
        <v>1293</v>
      </c>
      <c r="C20" s="19" t="s">
        <v>1294</v>
      </c>
      <c r="D20" s="19" t="s">
        <v>1193</v>
      </c>
      <c r="E20" s="19" t="s">
        <v>1295</v>
      </c>
      <c r="F20" s="19" t="s">
        <v>1296</v>
      </c>
      <c r="G20" s="19" t="s">
        <v>1297</v>
      </c>
      <c r="H20" s="19" t="s">
        <v>1206</v>
      </c>
      <c r="I20" s="19" t="s">
        <v>1298</v>
      </c>
      <c r="J20" s="19" t="s">
        <v>1268</v>
      </c>
      <c r="K20" s="47" t="s">
        <v>1229</v>
      </c>
      <c r="L20" s="19" t="s">
        <v>1299</v>
      </c>
      <c r="M20" s="19" t="s">
        <v>672</v>
      </c>
    </row>
    <row r="21" spans="1:13" ht="125.25" customHeight="1" x14ac:dyDescent="0.3">
      <c r="A21" s="18" t="s">
        <v>654</v>
      </c>
      <c r="B21" s="19" t="s">
        <v>1300</v>
      </c>
      <c r="C21" s="19" t="s">
        <v>148</v>
      </c>
      <c r="D21" s="19" t="s">
        <v>1193</v>
      </c>
      <c r="E21" s="19" t="s">
        <v>1301</v>
      </c>
      <c r="F21" s="19" t="s">
        <v>1302</v>
      </c>
      <c r="G21" s="19" t="s">
        <v>1303</v>
      </c>
      <c r="H21" s="19" t="s">
        <v>1206</v>
      </c>
      <c r="I21" s="19" t="s">
        <v>1298</v>
      </c>
      <c r="J21" s="19" t="s">
        <v>1304</v>
      </c>
      <c r="K21" s="47" t="s">
        <v>1229</v>
      </c>
      <c r="L21" s="19" t="s">
        <v>1305</v>
      </c>
      <c r="M21" s="19" t="s">
        <v>1306</v>
      </c>
    </row>
    <row r="22" spans="1:13" ht="125.25" customHeight="1" x14ac:dyDescent="0.3">
      <c r="A22" s="18" t="s">
        <v>1307</v>
      </c>
      <c r="B22" s="19" t="s">
        <v>1308</v>
      </c>
      <c r="C22" s="19" t="s">
        <v>1309</v>
      </c>
      <c r="D22" s="19" t="s">
        <v>1193</v>
      </c>
      <c r="E22" s="19" t="s">
        <v>1310</v>
      </c>
      <c r="F22" s="19" t="s">
        <v>1311</v>
      </c>
      <c r="G22" s="19" t="s">
        <v>1312</v>
      </c>
      <c r="H22" s="19" t="s">
        <v>1313</v>
      </c>
      <c r="I22" s="19" t="s">
        <v>1314</v>
      </c>
      <c r="J22" s="19" t="s">
        <v>1268</v>
      </c>
      <c r="K22" s="47" t="s">
        <v>1208</v>
      </c>
      <c r="L22" s="19" t="s">
        <v>1315</v>
      </c>
      <c r="M22" s="19" t="s">
        <v>690</v>
      </c>
    </row>
    <row r="23" spans="1:13" ht="81" customHeight="1" x14ac:dyDescent="0.3">
      <c r="A23" s="18" t="s">
        <v>1316</v>
      </c>
      <c r="B23" s="19" t="s">
        <v>1317</v>
      </c>
      <c r="C23" s="19" t="s">
        <v>1264</v>
      </c>
      <c r="D23" s="19" t="s">
        <v>1193</v>
      </c>
      <c r="E23" s="19" t="s">
        <v>1318</v>
      </c>
      <c r="F23" s="19" t="s">
        <v>1319</v>
      </c>
      <c r="G23" s="19" t="s">
        <v>1320</v>
      </c>
      <c r="H23" s="19" t="s">
        <v>1206</v>
      </c>
      <c r="I23" s="19" t="s">
        <v>1207</v>
      </c>
      <c r="J23" s="19"/>
      <c r="K23" s="48" t="s">
        <v>1250</v>
      </c>
      <c r="L23" s="19" t="s">
        <v>1230</v>
      </c>
      <c r="M23" s="19" t="s">
        <v>460</v>
      </c>
    </row>
    <row r="24" spans="1:13" ht="81" customHeight="1" x14ac:dyDescent="0.3">
      <c r="A24" s="18" t="s">
        <v>474</v>
      </c>
      <c r="B24" s="19" t="s">
        <v>1321</v>
      </c>
      <c r="C24" s="19" t="s">
        <v>1232</v>
      </c>
      <c r="D24" s="19" t="s">
        <v>1193</v>
      </c>
      <c r="E24" s="19" t="s">
        <v>1322</v>
      </c>
      <c r="F24" s="19" t="s">
        <v>1323</v>
      </c>
      <c r="G24" s="19" t="s">
        <v>1324</v>
      </c>
      <c r="H24" s="19" t="s">
        <v>1228</v>
      </c>
      <c r="I24" s="19" t="s">
        <v>1236</v>
      </c>
      <c r="J24" s="19" t="s">
        <v>1268</v>
      </c>
      <c r="K24" s="47" t="s">
        <v>1229</v>
      </c>
      <c r="L24" s="19" t="s">
        <v>1230</v>
      </c>
      <c r="M24" s="19" t="s">
        <v>466</v>
      </c>
    </row>
    <row r="25" spans="1:13" ht="81" customHeight="1" x14ac:dyDescent="0.3">
      <c r="A25" s="18" t="s">
        <v>441</v>
      </c>
      <c r="B25" s="19" t="s">
        <v>1325</v>
      </c>
      <c r="C25" s="19" t="s">
        <v>1326</v>
      </c>
      <c r="D25" s="19" t="s">
        <v>1193</v>
      </c>
      <c r="E25" s="19" t="s">
        <v>1327</v>
      </c>
      <c r="F25" s="19" t="s">
        <v>1328</v>
      </c>
      <c r="G25" s="19" t="s">
        <v>1329</v>
      </c>
      <c r="H25" s="19" t="s">
        <v>1206</v>
      </c>
      <c r="I25" s="19" t="s">
        <v>1207</v>
      </c>
      <c r="J25" s="19" t="s">
        <v>1268</v>
      </c>
      <c r="K25" s="47" t="s">
        <v>1229</v>
      </c>
      <c r="L25" s="19" t="s">
        <v>1330</v>
      </c>
      <c r="M25" s="19" t="s">
        <v>434</v>
      </c>
    </row>
    <row r="26" spans="1:13" ht="81" customHeight="1" x14ac:dyDescent="0.3">
      <c r="A26" s="18" t="s">
        <v>516</v>
      </c>
      <c r="B26" s="19" t="s">
        <v>1331</v>
      </c>
      <c r="C26" s="19" t="s">
        <v>1232</v>
      </c>
      <c r="D26" s="19" t="s">
        <v>1193</v>
      </c>
      <c r="E26" s="19" t="s">
        <v>1332</v>
      </c>
      <c r="F26" s="19" t="s">
        <v>1333</v>
      </c>
      <c r="G26" s="19" t="s">
        <v>1334</v>
      </c>
      <c r="H26" s="19" t="s">
        <v>1206</v>
      </c>
      <c r="I26" s="19" t="s">
        <v>1207</v>
      </c>
      <c r="J26" s="19" t="s">
        <v>1268</v>
      </c>
      <c r="K26" s="47" t="s">
        <v>1229</v>
      </c>
      <c r="L26" s="19" t="s">
        <v>1335</v>
      </c>
      <c r="M26" s="19" t="s">
        <v>511</v>
      </c>
    </row>
    <row r="27" spans="1:13" ht="81" customHeight="1" x14ac:dyDescent="0.3">
      <c r="A27" s="18" t="s">
        <v>1104</v>
      </c>
      <c r="B27" s="19" t="s">
        <v>1336</v>
      </c>
      <c r="C27" s="19" t="s">
        <v>1337</v>
      </c>
      <c r="D27" s="19" t="s">
        <v>1193</v>
      </c>
      <c r="E27" s="19" t="s">
        <v>1338</v>
      </c>
      <c r="F27" s="19" t="s">
        <v>1339</v>
      </c>
      <c r="G27" s="19" t="s">
        <v>1340</v>
      </c>
      <c r="H27" s="19" t="s">
        <v>1228</v>
      </c>
      <c r="I27" s="19" t="s">
        <v>1207</v>
      </c>
      <c r="J27" s="19" t="s">
        <v>1268</v>
      </c>
      <c r="K27" s="47" t="s">
        <v>1229</v>
      </c>
      <c r="L27" s="19" t="s">
        <v>1230</v>
      </c>
      <c r="M27" s="19" t="s">
        <v>1097</v>
      </c>
    </row>
    <row r="28" spans="1:13" ht="81" customHeight="1" x14ac:dyDescent="0.3">
      <c r="A28" s="18" t="s">
        <v>753</v>
      </c>
      <c r="B28" s="19" t="s">
        <v>1341</v>
      </c>
      <c r="C28" s="19" t="s">
        <v>1342</v>
      </c>
      <c r="D28" s="19" t="s">
        <v>1193</v>
      </c>
      <c r="E28" s="19" t="s">
        <v>1343</v>
      </c>
      <c r="F28" s="19" t="s">
        <v>1344</v>
      </c>
      <c r="G28" s="19" t="s">
        <v>1345</v>
      </c>
      <c r="H28" s="19" t="s">
        <v>1206</v>
      </c>
      <c r="I28" s="19" t="s">
        <v>1298</v>
      </c>
      <c r="J28" s="19" t="s">
        <v>1304</v>
      </c>
      <c r="K28" s="47" t="s">
        <v>1229</v>
      </c>
      <c r="L28" s="19" t="s">
        <v>1346</v>
      </c>
      <c r="M28" s="19" t="s">
        <v>1347</v>
      </c>
    </row>
    <row r="29" spans="1:13" ht="81" customHeight="1" x14ac:dyDescent="0.3">
      <c r="A29" s="18" t="s">
        <v>1348</v>
      </c>
      <c r="B29" s="19" t="s">
        <v>1349</v>
      </c>
      <c r="C29" s="19" t="s">
        <v>173</v>
      </c>
      <c r="D29" s="19" t="s">
        <v>1193</v>
      </c>
      <c r="E29" s="19" t="s">
        <v>1350</v>
      </c>
      <c r="F29" s="19" t="s">
        <v>1351</v>
      </c>
      <c r="G29" s="19" t="s">
        <v>1352</v>
      </c>
      <c r="H29" s="19" t="s">
        <v>1206</v>
      </c>
      <c r="I29" s="19" t="s">
        <v>1207</v>
      </c>
      <c r="J29" s="19" t="s">
        <v>1353</v>
      </c>
      <c r="K29" s="48" t="s">
        <v>1229</v>
      </c>
      <c r="L29" s="19" t="s">
        <v>1354</v>
      </c>
      <c r="M29" s="19" t="s">
        <v>1355</v>
      </c>
    </row>
    <row r="30" spans="1:13" ht="81" customHeight="1" x14ac:dyDescent="0.3">
      <c r="A30" s="18" t="s">
        <v>1356</v>
      </c>
      <c r="B30" s="19" t="s">
        <v>1357</v>
      </c>
      <c r="C30" s="19" t="s">
        <v>1358</v>
      </c>
      <c r="D30" s="19" t="s">
        <v>1193</v>
      </c>
      <c r="E30" s="19" t="s">
        <v>1359</v>
      </c>
      <c r="F30" s="19" t="s">
        <v>1360</v>
      </c>
      <c r="G30" s="19" t="s">
        <v>1361</v>
      </c>
      <c r="H30" s="19" t="s">
        <v>1228</v>
      </c>
      <c r="I30" s="19" t="s">
        <v>1207</v>
      </c>
      <c r="J30" s="19" t="s">
        <v>1353</v>
      </c>
      <c r="K30" s="47" t="s">
        <v>1208</v>
      </c>
      <c r="L30" s="19" t="s">
        <v>1362</v>
      </c>
      <c r="M30" s="19" t="s">
        <v>896</v>
      </c>
    </row>
    <row r="31" spans="1:13" ht="81" customHeight="1" x14ac:dyDescent="0.3">
      <c r="A31" s="18" t="s">
        <v>941</v>
      </c>
      <c r="B31" s="19" t="s">
        <v>1363</v>
      </c>
      <c r="C31" s="19" t="s">
        <v>17</v>
      </c>
      <c r="D31" s="19" t="s">
        <v>1193</v>
      </c>
      <c r="E31" s="19" t="s">
        <v>1364</v>
      </c>
      <c r="F31" s="19" t="s">
        <v>1365</v>
      </c>
      <c r="G31" s="19" t="s">
        <v>1366</v>
      </c>
      <c r="H31" s="19" t="s">
        <v>1228</v>
      </c>
      <c r="I31" s="19" t="s">
        <v>1207</v>
      </c>
      <c r="J31" s="19" t="s">
        <v>1268</v>
      </c>
      <c r="K31" s="47" t="s">
        <v>1229</v>
      </c>
      <c r="L31" s="19" t="s">
        <v>1299</v>
      </c>
      <c r="M31" s="19" t="s">
        <v>936</v>
      </c>
    </row>
    <row r="32" spans="1:13" ht="81" customHeight="1" x14ac:dyDescent="0.3">
      <c r="A32" s="18" t="s">
        <v>989</v>
      </c>
      <c r="B32" s="19" t="s">
        <v>1367</v>
      </c>
      <c r="C32" s="19" t="s">
        <v>1368</v>
      </c>
      <c r="D32" s="19" t="s">
        <v>1193</v>
      </c>
      <c r="E32" s="19" t="s">
        <v>1369</v>
      </c>
      <c r="F32" s="19" t="s">
        <v>1370</v>
      </c>
      <c r="G32" s="19" t="s">
        <v>1371</v>
      </c>
      <c r="H32" s="19" t="s">
        <v>1228</v>
      </c>
      <c r="I32" s="19" t="s">
        <v>1207</v>
      </c>
      <c r="J32" s="19" t="s">
        <v>1268</v>
      </c>
      <c r="K32" s="47" t="s">
        <v>1229</v>
      </c>
      <c r="L32" s="19" t="s">
        <v>1372</v>
      </c>
      <c r="M32" s="19" t="s">
        <v>982</v>
      </c>
    </row>
    <row r="33" spans="1:13" ht="81" customHeight="1" x14ac:dyDescent="0.3">
      <c r="A33" s="18" t="s">
        <v>689</v>
      </c>
      <c r="B33" s="19" t="s">
        <v>1373</v>
      </c>
      <c r="C33" s="19" t="s">
        <v>148</v>
      </c>
      <c r="D33" s="19" t="s">
        <v>1193</v>
      </c>
      <c r="E33" s="19" t="s">
        <v>1374</v>
      </c>
      <c r="F33" s="19" t="s">
        <v>1375</v>
      </c>
      <c r="G33" s="19" t="s">
        <v>1376</v>
      </c>
      <c r="H33" s="19" t="s">
        <v>1206</v>
      </c>
      <c r="I33" s="19" t="s">
        <v>1207</v>
      </c>
      <c r="J33" s="19" t="s">
        <v>1268</v>
      </c>
      <c r="K33" s="47" t="s">
        <v>1229</v>
      </c>
      <c r="L33" s="19" t="s">
        <v>1377</v>
      </c>
      <c r="M33" s="19" t="s">
        <v>682</v>
      </c>
    </row>
    <row r="34" spans="1:13" ht="81" customHeight="1" x14ac:dyDescent="0.3">
      <c r="A34" s="18" t="s">
        <v>980</v>
      </c>
      <c r="B34" s="19" t="s">
        <v>1378</v>
      </c>
      <c r="C34" s="19" t="s">
        <v>1368</v>
      </c>
      <c r="D34" s="19" t="s">
        <v>1193</v>
      </c>
      <c r="E34" s="19" t="s">
        <v>1379</v>
      </c>
      <c r="F34" s="19" t="s">
        <v>1380</v>
      </c>
      <c r="G34" s="19" t="s">
        <v>1381</v>
      </c>
      <c r="H34" s="19" t="s">
        <v>1313</v>
      </c>
      <c r="I34" s="19" t="s">
        <v>1298</v>
      </c>
      <c r="J34" s="19" t="s">
        <v>1268</v>
      </c>
      <c r="K34" s="47" t="s">
        <v>1229</v>
      </c>
      <c r="L34" s="19" t="s">
        <v>1382</v>
      </c>
      <c r="M34" s="19" t="s">
        <v>973</v>
      </c>
    </row>
    <row r="35" spans="1:13" ht="81" customHeight="1" x14ac:dyDescent="0.3">
      <c r="A35" s="18" t="s">
        <v>1010</v>
      </c>
      <c r="B35" s="19" t="s">
        <v>1383</v>
      </c>
      <c r="C35" s="19" t="s">
        <v>1368</v>
      </c>
      <c r="D35" s="19" t="s">
        <v>1193</v>
      </c>
      <c r="E35" s="19" t="s">
        <v>1384</v>
      </c>
      <c r="F35" s="19" t="s">
        <v>1385</v>
      </c>
      <c r="G35" s="19" t="s">
        <v>1386</v>
      </c>
      <c r="H35" s="19" t="s">
        <v>1206</v>
      </c>
      <c r="I35" s="19" t="s">
        <v>1207</v>
      </c>
      <c r="J35" s="19" t="s">
        <v>1268</v>
      </c>
      <c r="K35" s="47" t="s">
        <v>1229</v>
      </c>
      <c r="L35" s="19" t="s">
        <v>1387</v>
      </c>
      <c r="M35" s="19" t="s">
        <v>1004</v>
      </c>
    </row>
    <row r="36" spans="1:13" ht="81" customHeight="1" x14ac:dyDescent="0.3">
      <c r="A36" s="18" t="s">
        <v>821</v>
      </c>
      <c r="B36" s="19" t="s">
        <v>1388</v>
      </c>
      <c r="C36" s="19" t="s">
        <v>1389</v>
      </c>
      <c r="D36" s="19" t="s">
        <v>1193</v>
      </c>
      <c r="E36" s="19" t="s">
        <v>1390</v>
      </c>
      <c r="F36" s="19" t="s">
        <v>1391</v>
      </c>
      <c r="G36" s="19" t="s">
        <v>1392</v>
      </c>
      <c r="H36" s="19" t="s">
        <v>1206</v>
      </c>
      <c r="I36" s="19" t="s">
        <v>1207</v>
      </c>
      <c r="J36" s="19" t="s">
        <v>1393</v>
      </c>
      <c r="K36" s="47" t="s">
        <v>1229</v>
      </c>
      <c r="L36" s="19" t="s">
        <v>1394</v>
      </c>
      <c r="M36" s="19" t="s">
        <v>1395</v>
      </c>
    </row>
    <row r="37" spans="1:13" ht="57" customHeight="1" x14ac:dyDescent="0.3"/>
    <row r="38" spans="1:13" ht="68.25" customHeight="1" x14ac:dyDescent="0.3"/>
  </sheetData>
  <autoFilter ref="A4:M39"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9"/>
  <sheetViews>
    <sheetView zoomScaleNormal="100" workbookViewId="0">
      <selection activeCell="B7" sqref="B7"/>
    </sheetView>
  </sheetViews>
  <sheetFormatPr defaultColWidth="8.6640625" defaultRowHeight="14.4" x14ac:dyDescent="0.3"/>
  <cols>
    <col min="1" max="1" width="38.33203125" customWidth="1"/>
    <col min="2" max="5" width="17.5546875" customWidth="1"/>
    <col min="6" max="6" width="14" customWidth="1"/>
  </cols>
  <sheetData>
    <row r="1" spans="1:6" ht="17.25" customHeight="1" x14ac:dyDescent="0.3">
      <c r="A1" s="11" t="s">
        <v>1396</v>
      </c>
    </row>
    <row r="2" spans="1:6" ht="15" customHeight="1" x14ac:dyDescent="0.3">
      <c r="A2" s="12"/>
    </row>
    <row r="4" spans="1:6" ht="27.75" customHeight="1" x14ac:dyDescent="0.3">
      <c r="A4" s="10" t="s">
        <v>1397</v>
      </c>
      <c r="B4" s="10"/>
      <c r="C4" s="10"/>
      <c r="D4" s="10"/>
      <c r="E4" s="10"/>
      <c r="F4" s="10"/>
    </row>
    <row r="5" spans="1:6" ht="63" customHeight="1" x14ac:dyDescent="0.3">
      <c r="A5" s="18" t="s">
        <v>2</v>
      </c>
      <c r="B5" s="7" t="s">
        <v>1398</v>
      </c>
      <c r="C5" s="7"/>
      <c r="D5" s="7"/>
      <c r="E5" s="7"/>
      <c r="F5" s="7"/>
    </row>
    <row r="6" spans="1:6" ht="63" customHeight="1" x14ac:dyDescent="0.3">
      <c r="A6" s="18" t="s">
        <v>4</v>
      </c>
      <c r="B6" s="7" t="s">
        <v>1399</v>
      </c>
      <c r="C6" s="7"/>
      <c r="D6" s="7"/>
      <c r="E6" s="7"/>
      <c r="F6" s="7"/>
    </row>
    <row r="7" spans="1:6" ht="72" customHeight="1" x14ac:dyDescent="0.3">
      <c r="A7" s="18" t="s">
        <v>1400</v>
      </c>
      <c r="B7" s="7" t="s">
        <v>1401</v>
      </c>
      <c r="C7" s="7"/>
      <c r="D7" s="7"/>
      <c r="E7" s="7"/>
      <c r="F7" s="7"/>
    </row>
    <row r="8" spans="1:6" ht="27" customHeight="1" x14ac:dyDescent="0.3">
      <c r="A8" s="10" t="s">
        <v>1402</v>
      </c>
      <c r="B8" s="10"/>
      <c r="C8" s="10"/>
      <c r="D8" s="10"/>
      <c r="E8" s="10"/>
      <c r="F8" s="10"/>
    </row>
    <row r="9" spans="1:6" ht="30" customHeight="1" x14ac:dyDescent="0.3">
      <c r="A9" s="49" t="s">
        <v>1403</v>
      </c>
      <c r="B9" s="6" t="s">
        <v>1404</v>
      </c>
      <c r="C9" s="6"/>
      <c r="D9" s="6"/>
      <c r="E9" s="6"/>
      <c r="F9" s="6"/>
    </row>
    <row r="10" spans="1:6" ht="26.25" customHeight="1" x14ac:dyDescent="0.3">
      <c r="A10" s="50" t="s">
        <v>1405</v>
      </c>
      <c r="B10" s="5">
        <f>COUNTA('Web Test Cases'!$A$5:$A$130)</f>
        <v>126</v>
      </c>
      <c r="C10" s="5"/>
      <c r="D10" s="5"/>
      <c r="E10" s="5"/>
      <c r="F10" s="5"/>
    </row>
    <row r="11" spans="1:6" ht="26.25" customHeight="1" x14ac:dyDescent="0.3">
      <c r="A11" s="50" t="s">
        <v>1406</v>
      </c>
      <c r="B11" s="5">
        <f>COUNTA('Web Test Cases'!$A$5:$A$130)-COUNTIF('Web Test Cases'!$L$5:$L$130,"Not Run")</f>
        <v>126</v>
      </c>
      <c r="C11" s="5"/>
      <c r="D11" s="5"/>
      <c r="E11" s="5"/>
      <c r="F11" s="5"/>
    </row>
    <row r="12" spans="1:6" ht="26.25" customHeight="1" x14ac:dyDescent="0.3">
      <c r="A12" s="50" t="s">
        <v>213</v>
      </c>
      <c r="B12" s="5">
        <f>COUNTIF('Web Test Cases'!$L$5:$L$130,"Pass")</f>
        <v>107</v>
      </c>
      <c r="C12" s="5"/>
      <c r="D12" s="5"/>
      <c r="E12" s="5"/>
      <c r="F12" s="5"/>
    </row>
    <row r="13" spans="1:6" ht="26.25" customHeight="1" x14ac:dyDescent="0.3">
      <c r="A13" s="50" t="s">
        <v>430</v>
      </c>
      <c r="B13" s="5">
        <f>COUNTIF('Web Test Cases'!$L$5:$L$130,"Fail")</f>
        <v>19</v>
      </c>
      <c r="C13" s="5"/>
      <c r="D13" s="5"/>
      <c r="E13" s="5"/>
      <c r="F13" s="5"/>
    </row>
    <row r="14" spans="1:6" ht="26.25" customHeight="1" x14ac:dyDescent="0.3">
      <c r="A14" s="50" t="s">
        <v>1407</v>
      </c>
      <c r="B14" s="5">
        <f>COUNTIF('Web Test Cases'!$L$5:$L$130,"Blocked")</f>
        <v>0</v>
      </c>
      <c r="C14" s="5"/>
      <c r="D14" s="5"/>
      <c r="E14" s="5"/>
      <c r="F14" s="5"/>
    </row>
    <row r="15" spans="1:6" ht="26.25" customHeight="1" x14ac:dyDescent="0.3">
      <c r="A15" s="50" t="s">
        <v>1408</v>
      </c>
      <c r="B15" s="4">
        <f>IF(B11=0,0,B12/B11)</f>
        <v>0.84920634920634919</v>
      </c>
      <c r="C15" s="4"/>
      <c r="D15" s="4"/>
      <c r="E15" s="4"/>
      <c r="F15" s="4"/>
    </row>
    <row r="16" spans="1:6" ht="26.25" customHeight="1" x14ac:dyDescent="0.3">
      <c r="A16" s="50" t="s">
        <v>1409</v>
      </c>
      <c r="B16" s="4">
        <f>IF(B10=0,0,B11/B10)</f>
        <v>1</v>
      </c>
      <c r="C16" s="4"/>
      <c r="D16" s="4"/>
      <c r="E16" s="4"/>
      <c r="F16" s="4"/>
    </row>
    <row r="17" spans="1:6" ht="15" customHeight="1" x14ac:dyDescent="0.3">
      <c r="A17" s="3"/>
      <c r="B17" s="3"/>
      <c r="C17" s="3"/>
      <c r="D17" s="3"/>
      <c r="E17" s="3"/>
      <c r="F17" s="3"/>
    </row>
    <row r="18" spans="1:6" ht="26.25" customHeight="1" x14ac:dyDescent="0.3">
      <c r="A18" s="49" t="s">
        <v>103</v>
      </c>
      <c r="B18" s="49" t="s">
        <v>1410</v>
      </c>
      <c r="C18" s="49" t="s">
        <v>213</v>
      </c>
      <c r="D18" s="49" t="s">
        <v>430</v>
      </c>
      <c r="E18" s="49" t="s">
        <v>1407</v>
      </c>
      <c r="F18" s="49" t="s">
        <v>1411</v>
      </c>
    </row>
    <row r="19" spans="1:6" ht="28.5" customHeight="1" x14ac:dyDescent="0.3">
      <c r="A19" s="18" t="s">
        <v>111</v>
      </c>
      <c r="B19" s="19">
        <f>COUNTIF('Web Test Cases'!$C$5:$C$130,A19)</f>
        <v>46</v>
      </c>
      <c r="C19" s="19">
        <f>COUNTIFS('Web Test Cases'!$C$5:$C$130,A19,'Web Test Cases'!$L$5:$L$130,"Pass")</f>
        <v>42</v>
      </c>
      <c r="D19" s="19">
        <f>COUNTIFS('Web Test Cases'!$C$5:$C$130,A19,'Web Test Cases'!$L$5:$L$130,"Fail")</f>
        <v>4</v>
      </c>
      <c r="E19" s="19">
        <f>COUNTIFS('Web Test Cases'!$C$5:$C$130,A19,'Web Test Cases'!$L$5:$L$130,"Blocked")</f>
        <v>0</v>
      </c>
      <c r="F19" s="51">
        <f t="shared" ref="F19:F26" si="0">IF((C19+D19+E19)=0,0,C19/(C19+D19+E19))</f>
        <v>0.91304347826086951</v>
      </c>
    </row>
    <row r="20" spans="1:6" ht="28.5" customHeight="1" x14ac:dyDescent="0.3">
      <c r="A20" s="18" t="s">
        <v>15</v>
      </c>
      <c r="B20" s="19">
        <f>COUNTIF('Web Test Cases'!$C$5:$C$130,A20)</f>
        <v>12</v>
      </c>
      <c r="C20" s="19">
        <f>COUNTIFS('Web Test Cases'!$C$5:$C$130,A20,'Web Test Cases'!$L$5:$L$130,"Pass")</f>
        <v>12</v>
      </c>
      <c r="D20" s="19">
        <f>COUNTIFS('Web Test Cases'!$C$5:$C$130,A20,'Web Test Cases'!$L$5:$L$130,"Fail")</f>
        <v>0</v>
      </c>
      <c r="E20" s="19">
        <f>COUNTIFS('Web Test Cases'!$C$5:$C$130,A20,'Web Test Cases'!$L$5:$L$130,"Blocked")</f>
        <v>0</v>
      </c>
      <c r="F20" s="51">
        <f t="shared" si="0"/>
        <v>1</v>
      </c>
    </row>
    <row r="21" spans="1:6" ht="28.5" customHeight="1" x14ac:dyDescent="0.3">
      <c r="A21" s="18" t="s">
        <v>148</v>
      </c>
      <c r="B21" s="19">
        <f>COUNTIF('Web Test Cases'!$C$5:$C$130,A21)</f>
        <v>16</v>
      </c>
      <c r="C21" s="19">
        <f>COUNTIFS('Web Test Cases'!$C$5:$C$130,A21,'Web Test Cases'!$L$5:$L$130,"Pass")</f>
        <v>10</v>
      </c>
      <c r="D21" s="19">
        <f>COUNTIFS('Web Test Cases'!$C$5:$C$130,A21,'Web Test Cases'!$L$5:$L$130,"Fail")</f>
        <v>6</v>
      </c>
      <c r="E21" s="19">
        <f>COUNTIFS('Web Test Cases'!$C$5:$C$130,A21,'Web Test Cases'!$L$5:$L$130,"Blocked")</f>
        <v>0</v>
      </c>
      <c r="F21" s="51">
        <f t="shared" si="0"/>
        <v>0.625</v>
      </c>
    </row>
    <row r="22" spans="1:6" ht="28.5" customHeight="1" x14ac:dyDescent="0.3">
      <c r="A22" s="18" t="s">
        <v>17</v>
      </c>
      <c r="B22" s="19">
        <f>COUNTIF('Web Test Cases'!$C$5:$C$130,A22)</f>
        <v>30</v>
      </c>
      <c r="C22" s="19">
        <f>COUNTIFS('Web Test Cases'!$C$5:$C$130,A22,'Web Test Cases'!$L$5:$L$130,"Pass")</f>
        <v>27</v>
      </c>
      <c r="D22" s="19">
        <f>COUNTIFS('Web Test Cases'!$C$5:$C$130,A22,'Web Test Cases'!$L$5:$L$130,"Fail")</f>
        <v>3</v>
      </c>
      <c r="E22" s="19">
        <f>COUNTIFS('Web Test Cases'!$C$5:$C$130,A22,'Web Test Cases'!$L$5:$L$130,"Blocked")</f>
        <v>0</v>
      </c>
      <c r="F22" s="51">
        <f t="shared" si="0"/>
        <v>0.9</v>
      </c>
    </row>
    <row r="23" spans="1:6" ht="28.5" customHeight="1" x14ac:dyDescent="0.3">
      <c r="A23" s="18" t="s">
        <v>173</v>
      </c>
      <c r="B23" s="19">
        <f>COUNTIF('Web Test Cases'!$C$5:$C$130,A23)</f>
        <v>7</v>
      </c>
      <c r="C23" s="19">
        <f>COUNTIFS('Web Test Cases'!$C$5:$C$130,A23,'Web Test Cases'!$L$5:$L$130,"Pass")</f>
        <v>4</v>
      </c>
      <c r="D23" s="19">
        <f>COUNTIFS('Web Test Cases'!$C$5:$C$130,A23,'Web Test Cases'!$L$5:$L$130,"Fail")</f>
        <v>3</v>
      </c>
      <c r="E23" s="19">
        <f>COUNTIFS('Web Test Cases'!$C$5:$C$130,A23,'Web Test Cases'!$L$5:$L$130,"Blocked")</f>
        <v>0</v>
      </c>
      <c r="F23" s="51">
        <f t="shared" si="0"/>
        <v>0.5714285714285714</v>
      </c>
    </row>
    <row r="24" spans="1:6" ht="28.5" customHeight="1" x14ac:dyDescent="0.3">
      <c r="A24" s="18" t="s">
        <v>11</v>
      </c>
      <c r="B24" s="19">
        <f>COUNTIF('Web Test Cases'!$C$5:$C$130,A24)</f>
        <v>7</v>
      </c>
      <c r="C24" s="19">
        <f>COUNTIFS('Web Test Cases'!$C$5:$C$130,A24,'Web Test Cases'!$L$5:$L$130,"Pass")</f>
        <v>7</v>
      </c>
      <c r="D24" s="19">
        <f>COUNTIFS('Web Test Cases'!$C$5:$C$130,A24,'Web Test Cases'!$L$5:$L$130,"Fail")</f>
        <v>0</v>
      </c>
      <c r="E24" s="19">
        <f>COUNTIFS('Web Test Cases'!$C$5:$C$130,A24,'Web Test Cases'!$L$5:$L$130,"Blocked")</f>
        <v>0</v>
      </c>
      <c r="F24" s="51">
        <f t="shared" si="0"/>
        <v>1</v>
      </c>
    </row>
    <row r="25" spans="1:6" ht="28.5" customHeight="1" x14ac:dyDescent="0.3">
      <c r="A25" s="18" t="s">
        <v>180</v>
      </c>
      <c r="B25" s="19">
        <f>COUNTIF('Web Test Cases'!$C$5:$C$130,A25)</f>
        <v>5</v>
      </c>
      <c r="C25" s="19">
        <f>COUNTIFS('Web Test Cases'!$C$5:$C$130,A25,'Web Test Cases'!$L$5:$L$130,"Pass")</f>
        <v>2</v>
      </c>
      <c r="D25" s="19">
        <f>COUNTIFS('Web Test Cases'!$C$5:$C$130,A25,'Web Test Cases'!$L$5:$L$130,"Fail")</f>
        <v>3</v>
      </c>
      <c r="E25" s="19">
        <f>COUNTIFS('Web Test Cases'!$C$5:$C$130,A25,'Web Test Cases'!$L$5:$L$130,"Blocked")</f>
        <v>0</v>
      </c>
      <c r="F25" s="51">
        <f t="shared" si="0"/>
        <v>0.4</v>
      </c>
    </row>
    <row r="26" spans="1:6" ht="28.5" customHeight="1" x14ac:dyDescent="0.3">
      <c r="A26" s="18" t="s">
        <v>184</v>
      </c>
      <c r="B26" s="19">
        <f>COUNTIF('Web Test Cases'!$C$5:$C$130,A26)</f>
        <v>3</v>
      </c>
      <c r="C26" s="19">
        <f>COUNTIFS('Web Test Cases'!$C$5:$C$130,A26,'Web Test Cases'!$L$5:$L$130,"Pass")</f>
        <v>3</v>
      </c>
      <c r="D26" s="19">
        <f>COUNTIFS('Web Test Cases'!$C$5:$C$130,A26,'Web Test Cases'!$L$5:$L$130,"Fail")</f>
        <v>0</v>
      </c>
      <c r="E26" s="19">
        <f>COUNTIFS('Web Test Cases'!$C$5:$C$130,A26,'Web Test Cases'!$L$5:$L$130,"Blocked")</f>
        <v>0</v>
      </c>
      <c r="F26" s="51">
        <f t="shared" si="0"/>
        <v>1</v>
      </c>
    </row>
    <row r="27" spans="1:6" ht="15" customHeight="1" x14ac:dyDescent="0.3">
      <c r="A27" s="2"/>
      <c r="B27" s="2"/>
      <c r="C27" s="2"/>
      <c r="D27" s="2"/>
      <c r="E27" s="2"/>
      <c r="F27" s="2"/>
    </row>
    <row r="28" spans="1:6" ht="25.5" customHeight="1" x14ac:dyDescent="0.3">
      <c r="A28" s="10" t="s">
        <v>1412</v>
      </c>
      <c r="B28" s="10"/>
      <c r="C28" s="52"/>
      <c r="D28" s="52"/>
      <c r="E28" s="52"/>
      <c r="F28" s="52"/>
    </row>
    <row r="29" spans="1:6" ht="29.25" customHeight="1" x14ac:dyDescent="0.3">
      <c r="A29" s="49" t="s">
        <v>1185</v>
      </c>
      <c r="B29" s="49" t="s">
        <v>1413</v>
      </c>
      <c r="C29" s="21"/>
      <c r="D29" s="21"/>
      <c r="E29" s="21"/>
      <c r="F29" s="21"/>
    </row>
    <row r="30" spans="1:6" ht="29.25" customHeight="1" x14ac:dyDescent="0.3">
      <c r="A30" s="18" t="s">
        <v>1414</v>
      </c>
      <c r="B30" s="19">
        <f>COUNTIFS('Bug Reports'!$H$5:$H$39,"Critical",'Bug Reports'!$K$5:$K$39,"New")</f>
        <v>0</v>
      </c>
      <c r="C30" s="21"/>
      <c r="D30" s="21"/>
      <c r="E30" s="21"/>
      <c r="F30" s="21"/>
    </row>
    <row r="31" spans="1:6" ht="29.25" customHeight="1" x14ac:dyDescent="0.3">
      <c r="A31" s="18" t="s">
        <v>1313</v>
      </c>
      <c r="B31" s="19">
        <f>COUNTIFS('Bug Reports'!$H$5:$H$39,"High",'Bug Reports'!$K$5:$K$39,"New")</f>
        <v>1</v>
      </c>
      <c r="C31" s="21"/>
      <c r="D31" s="21"/>
      <c r="E31" s="21"/>
      <c r="F31" s="21"/>
    </row>
    <row r="32" spans="1:6" ht="29.25" customHeight="1" x14ac:dyDescent="0.3">
      <c r="A32" s="18" t="s">
        <v>1206</v>
      </c>
      <c r="B32" s="19">
        <f>COUNTIFS('Bug Reports'!$H$5:$H$39,"Medium",'Bug Reports'!$K$5:$K$39,"New")</f>
        <v>9</v>
      </c>
      <c r="C32" s="21"/>
      <c r="D32" s="21"/>
      <c r="E32" s="21"/>
      <c r="F32" s="21"/>
    </row>
    <row r="33" spans="1:6" ht="29.25" customHeight="1" x14ac:dyDescent="0.3">
      <c r="A33" s="18" t="s">
        <v>1228</v>
      </c>
      <c r="B33" s="19">
        <f>COUNTIFS('Bug Reports'!$H$5:$H$39,"Low",'Bug Reports'!$K$5:$K$39,"New")</f>
        <v>7</v>
      </c>
      <c r="C33" s="21"/>
      <c r="D33" s="21"/>
      <c r="E33" s="21"/>
      <c r="F33" s="21"/>
    </row>
    <row r="34" spans="1:6" ht="29.25" customHeight="1" x14ac:dyDescent="0.3">
      <c r="A34" s="53" t="s">
        <v>1415</v>
      </c>
      <c r="B34" s="54">
        <f>COUNTIF('Bug Reports'!$K$5:$K$39,"Təkrar yoxlanılmalı")+COUNTIF('Bug Reports'!$K$5:$K$39,"Məlumat lazımdır")</f>
        <v>0</v>
      </c>
      <c r="C34" s="21"/>
      <c r="D34" s="21"/>
      <c r="E34" s="21"/>
      <c r="F34" s="21"/>
    </row>
    <row r="35" spans="1:6" ht="29.25" customHeight="1" x14ac:dyDescent="0.3">
      <c r="A35" s="18" t="s">
        <v>1416</v>
      </c>
      <c r="B35" s="19">
        <f>COUNTIF('Bug Reports'!$K$5:$K$39,"Rejected*")+COUNTIF('Bug Reports'!$K$5:$K$39,"Duplicate*")</f>
        <v>15</v>
      </c>
      <c r="C35" s="21"/>
      <c r="D35" s="21"/>
      <c r="E35" s="21"/>
      <c r="F35" s="21"/>
    </row>
    <row r="36" spans="1:6" ht="15" customHeight="1" x14ac:dyDescent="0.3">
      <c r="A36" s="21"/>
      <c r="B36" s="21"/>
      <c r="C36" s="21"/>
      <c r="D36" s="21"/>
      <c r="E36" s="21"/>
      <c r="F36" s="21"/>
    </row>
    <row r="37" spans="1:6" ht="34.5" customHeight="1" x14ac:dyDescent="0.3">
      <c r="A37" s="10" t="s">
        <v>1417</v>
      </c>
      <c r="B37" s="10"/>
      <c r="C37" s="10"/>
      <c r="D37" s="10"/>
      <c r="E37" s="10"/>
      <c r="F37" s="10"/>
    </row>
    <row r="38" spans="1:6" ht="59.25" customHeight="1" x14ac:dyDescent="0.3">
      <c r="A38" s="1" t="s">
        <v>1418</v>
      </c>
      <c r="B38" s="1"/>
      <c r="C38" s="1"/>
      <c r="D38" s="1"/>
      <c r="E38" s="1"/>
      <c r="F38" s="1"/>
    </row>
    <row r="39" spans="1:6" ht="59.25" customHeight="1" x14ac:dyDescent="0.3">
      <c r="A39" s="1" t="s">
        <v>1419</v>
      </c>
      <c r="B39" s="1"/>
      <c r="C39" s="1"/>
      <c r="D39" s="1"/>
      <c r="E39" s="1"/>
      <c r="F39" s="1"/>
    </row>
    <row r="40" spans="1:6" ht="59.25" customHeight="1" x14ac:dyDescent="0.3">
      <c r="A40" s="1" t="s">
        <v>1420</v>
      </c>
      <c r="B40" s="1"/>
      <c r="C40" s="1"/>
      <c r="D40" s="1"/>
      <c r="E40" s="1"/>
      <c r="F40" s="1"/>
    </row>
    <row r="41" spans="1:6" ht="59.25" customHeight="1" x14ac:dyDescent="0.3">
      <c r="A41" s="1" t="s">
        <v>1421</v>
      </c>
      <c r="B41" s="1"/>
      <c r="C41" s="1"/>
      <c r="D41" s="1"/>
      <c r="E41" s="1"/>
      <c r="F41" s="1"/>
    </row>
    <row r="42" spans="1:6" ht="59.25" customHeight="1" x14ac:dyDescent="0.3">
      <c r="A42" s="1" t="s">
        <v>1422</v>
      </c>
      <c r="B42" s="1"/>
      <c r="C42" s="1"/>
      <c r="D42" s="1"/>
      <c r="E42" s="1"/>
      <c r="F42" s="1"/>
    </row>
    <row r="43" spans="1:6" ht="59.25" customHeight="1" x14ac:dyDescent="0.3">
      <c r="A43" s="1" t="s">
        <v>1423</v>
      </c>
      <c r="B43" s="1"/>
      <c r="C43" s="1"/>
      <c r="D43" s="1"/>
      <c r="E43" s="1"/>
      <c r="F43" s="1"/>
    </row>
    <row r="44" spans="1:6" ht="59.25" customHeight="1" x14ac:dyDescent="0.3">
      <c r="A44" s="1" t="s">
        <v>1424</v>
      </c>
      <c r="B44" s="1"/>
      <c r="C44" s="1"/>
      <c r="D44" s="1"/>
      <c r="E44" s="1"/>
      <c r="F44" s="1"/>
    </row>
    <row r="45" spans="1:6" ht="59.25" customHeight="1" x14ac:dyDescent="0.3">
      <c r="A45" s="1" t="s">
        <v>1425</v>
      </c>
      <c r="B45" s="1"/>
      <c r="C45" s="1"/>
      <c r="D45" s="1"/>
      <c r="E45" s="1"/>
      <c r="F45" s="1"/>
    </row>
    <row r="46" spans="1:6" ht="24.75" customHeight="1" x14ac:dyDescent="0.3">
      <c r="A46" s="55"/>
      <c r="B46" s="56"/>
      <c r="C46" s="56"/>
      <c r="D46" s="56"/>
      <c r="E46" s="56"/>
      <c r="F46" s="57"/>
    </row>
    <row r="47" spans="1:6" ht="29.25" customHeight="1" x14ac:dyDescent="0.3">
      <c r="A47" s="10" t="s">
        <v>1426</v>
      </c>
      <c r="B47" s="10"/>
      <c r="C47" s="10"/>
      <c r="D47" s="10"/>
      <c r="E47" s="10"/>
      <c r="F47" s="10"/>
    </row>
    <row r="48" spans="1:6" ht="29.25" customHeight="1" x14ac:dyDescent="0.3">
      <c r="A48" s="49" t="s">
        <v>1427</v>
      </c>
      <c r="B48" s="6" t="s">
        <v>1428</v>
      </c>
      <c r="C48" s="6"/>
      <c r="D48" s="6"/>
      <c r="E48" s="6"/>
      <c r="F48" s="49" t="s">
        <v>1429</v>
      </c>
    </row>
    <row r="49" spans="1:6" ht="51" customHeight="1" x14ac:dyDescent="0.3">
      <c r="A49" s="18" t="s">
        <v>1430</v>
      </c>
      <c r="B49" s="7" t="s">
        <v>1431</v>
      </c>
      <c r="C49" s="7"/>
      <c r="D49" s="7"/>
      <c r="E49" s="7"/>
      <c r="F49" s="19" t="s">
        <v>342</v>
      </c>
    </row>
    <row r="50" spans="1:6" ht="51" customHeight="1" x14ac:dyDescent="0.3">
      <c r="A50" s="18" t="s">
        <v>1432</v>
      </c>
      <c r="B50" s="7" t="s">
        <v>1433</v>
      </c>
      <c r="C50" s="7"/>
      <c r="D50" s="7"/>
      <c r="E50" s="7"/>
      <c r="F50" s="19" t="s">
        <v>1434</v>
      </c>
    </row>
    <row r="51" spans="1:6" ht="51" customHeight="1" x14ac:dyDescent="0.3">
      <c r="A51" s="18" t="s">
        <v>1435</v>
      </c>
      <c r="B51" s="7" t="s">
        <v>1436</v>
      </c>
      <c r="C51" s="7"/>
      <c r="D51" s="7"/>
      <c r="E51" s="7"/>
      <c r="F51" s="19" t="s">
        <v>1025</v>
      </c>
    </row>
    <row r="52" spans="1:6" ht="51" customHeight="1" x14ac:dyDescent="0.3">
      <c r="A52" s="18" t="s">
        <v>1437</v>
      </c>
      <c r="B52" s="7" t="s">
        <v>1438</v>
      </c>
      <c r="C52" s="7"/>
      <c r="D52" s="7"/>
      <c r="E52" s="7"/>
      <c r="F52" s="19" t="s">
        <v>1052</v>
      </c>
    </row>
    <row r="53" spans="1:6" ht="51" customHeight="1" x14ac:dyDescent="0.3">
      <c r="A53" s="18" t="s">
        <v>1439</v>
      </c>
      <c r="B53" s="7" t="s">
        <v>1440</v>
      </c>
      <c r="C53" s="7"/>
      <c r="D53" s="7"/>
      <c r="E53" s="7"/>
      <c r="F53" s="19" t="s">
        <v>623</v>
      </c>
    </row>
    <row r="54" spans="1:6" ht="51" customHeight="1" x14ac:dyDescent="0.3">
      <c r="A54" s="18" t="s">
        <v>1441</v>
      </c>
      <c r="B54" s="7" t="s">
        <v>1442</v>
      </c>
      <c r="C54" s="7"/>
      <c r="D54" s="7"/>
      <c r="E54" s="7"/>
      <c r="F54" s="19" t="s">
        <v>852</v>
      </c>
    </row>
    <row r="55" spans="1:6" ht="51" customHeight="1" x14ac:dyDescent="0.3">
      <c r="A55" s="18" t="s">
        <v>1443</v>
      </c>
      <c r="B55" s="7" t="s">
        <v>1444</v>
      </c>
      <c r="C55" s="7"/>
      <c r="D55" s="7"/>
      <c r="E55" s="7"/>
      <c r="F55" s="19" t="s">
        <v>1445</v>
      </c>
    </row>
    <row r="56" spans="1:6" ht="38.25" customHeight="1" x14ac:dyDescent="0.3">
      <c r="A56" s="10" t="s">
        <v>1446</v>
      </c>
      <c r="B56" s="10"/>
      <c r="C56" s="10"/>
      <c r="D56" s="10"/>
      <c r="E56" s="10"/>
      <c r="F56" s="10"/>
    </row>
    <row r="57" spans="1:6" ht="63" customHeight="1" x14ac:dyDescent="0.3">
      <c r="A57" s="1" t="s">
        <v>1447</v>
      </c>
      <c r="B57" s="1"/>
      <c r="C57" s="1"/>
      <c r="D57" s="1"/>
      <c r="E57" s="1"/>
      <c r="F57" s="1"/>
    </row>
    <row r="58" spans="1:6" ht="63" customHeight="1" x14ac:dyDescent="0.3">
      <c r="A58" s="1" t="s">
        <v>1448</v>
      </c>
      <c r="B58" s="1"/>
      <c r="C58" s="1"/>
      <c r="D58" s="1"/>
      <c r="E58" s="1"/>
      <c r="F58" s="1"/>
    </row>
    <row r="59" spans="1:6" ht="63" customHeight="1" x14ac:dyDescent="0.3">
      <c r="A59" s="1" t="s">
        <v>1449</v>
      </c>
      <c r="B59" s="1"/>
      <c r="C59" s="1"/>
      <c r="D59" s="1"/>
      <c r="E59" s="1"/>
      <c r="F59" s="1"/>
    </row>
    <row r="60" spans="1:6" ht="63" customHeight="1" x14ac:dyDescent="0.3">
      <c r="A60" s="1" t="s">
        <v>1450</v>
      </c>
      <c r="B60" s="1"/>
      <c r="C60" s="1"/>
      <c r="D60" s="1"/>
      <c r="E60" s="1"/>
      <c r="F60" s="1"/>
    </row>
    <row r="61" spans="1:6" ht="63" customHeight="1" x14ac:dyDescent="0.3">
      <c r="A61" s="1" t="s">
        <v>1451</v>
      </c>
      <c r="B61" s="1"/>
      <c r="C61" s="1"/>
      <c r="D61" s="1"/>
      <c r="E61" s="1"/>
      <c r="F61" s="1"/>
    </row>
    <row r="62" spans="1:6" ht="36.75" customHeight="1" x14ac:dyDescent="0.3">
      <c r="A62" s="10" t="s">
        <v>1452</v>
      </c>
      <c r="B62" s="10"/>
      <c r="C62" s="10"/>
      <c r="D62" s="10"/>
      <c r="E62" s="10"/>
      <c r="F62" s="10"/>
    </row>
    <row r="63" spans="1:6" ht="105" customHeight="1" x14ac:dyDescent="0.3">
      <c r="A63" s="5" t="s">
        <v>1453</v>
      </c>
      <c r="B63" s="5"/>
      <c r="C63" s="5"/>
      <c r="D63" s="5"/>
      <c r="E63" s="5"/>
      <c r="F63" s="5"/>
    </row>
    <row r="64" spans="1:6" ht="72" customHeight="1" x14ac:dyDescent="0.3">
      <c r="A64" s="5" t="s">
        <v>1454</v>
      </c>
      <c r="B64" s="5"/>
      <c r="C64" s="5"/>
      <c r="D64" s="5"/>
      <c r="E64" s="5"/>
      <c r="F64" s="5"/>
    </row>
    <row r="65" spans="1:6" ht="62.25" customHeight="1" x14ac:dyDescent="0.3">
      <c r="A65" s="5" t="s">
        <v>1455</v>
      </c>
      <c r="B65" s="5"/>
      <c r="C65" s="5"/>
      <c r="D65" s="5"/>
      <c r="E65" s="5"/>
      <c r="F65" s="5"/>
    </row>
    <row r="66" spans="1:6" ht="138" customHeight="1" x14ac:dyDescent="0.3">
      <c r="A66" s="5" t="s">
        <v>1456</v>
      </c>
      <c r="B66" s="5"/>
      <c r="C66" s="5"/>
      <c r="D66" s="5"/>
      <c r="E66" s="5"/>
      <c r="F66" s="5"/>
    </row>
    <row r="67" spans="1:6" ht="15" customHeight="1" x14ac:dyDescent="0.3">
      <c r="A67" s="3"/>
      <c r="B67" s="3"/>
      <c r="C67" s="3"/>
      <c r="D67" s="3"/>
      <c r="E67" s="3"/>
      <c r="F67" s="3"/>
    </row>
    <row r="68" spans="1:6" ht="27" customHeight="1" x14ac:dyDescent="0.3">
      <c r="A68" s="10" t="s">
        <v>1457</v>
      </c>
      <c r="B68" s="10"/>
      <c r="C68" s="10"/>
      <c r="D68" s="10"/>
      <c r="E68" s="10"/>
      <c r="F68" s="10"/>
    </row>
    <row r="69" spans="1:6" ht="88.5" customHeight="1" x14ac:dyDescent="0.3">
      <c r="A69" s="1" t="s">
        <v>1458</v>
      </c>
      <c r="B69" s="1"/>
      <c r="C69" s="1"/>
      <c r="D69" s="1"/>
      <c r="E69" s="1"/>
      <c r="F69" s="1"/>
    </row>
  </sheetData>
  <mergeCells count="48">
    <mergeCell ref="A67:F67"/>
    <mergeCell ref="A68:F68"/>
    <mergeCell ref="A69:F69"/>
    <mergeCell ref="A62:F62"/>
    <mergeCell ref="A63:F63"/>
    <mergeCell ref="A64:F64"/>
    <mergeCell ref="A65:F65"/>
    <mergeCell ref="A66:F66"/>
    <mergeCell ref="A57:F57"/>
    <mergeCell ref="A58:F58"/>
    <mergeCell ref="A59:F59"/>
    <mergeCell ref="A60:F60"/>
    <mergeCell ref="A61:F61"/>
    <mergeCell ref="B52:E52"/>
    <mergeCell ref="B53:E53"/>
    <mergeCell ref="B54:E54"/>
    <mergeCell ref="B55:E55"/>
    <mergeCell ref="A56:F56"/>
    <mergeCell ref="A47:F47"/>
    <mergeCell ref="B48:E48"/>
    <mergeCell ref="B49:E49"/>
    <mergeCell ref="B50:E50"/>
    <mergeCell ref="B51:E51"/>
    <mergeCell ref="A41:F41"/>
    <mergeCell ref="A42:F42"/>
    <mergeCell ref="A43:F43"/>
    <mergeCell ref="A44:F44"/>
    <mergeCell ref="A45:F45"/>
    <mergeCell ref="A28:B28"/>
    <mergeCell ref="A37:F37"/>
    <mergeCell ref="A38:F38"/>
    <mergeCell ref="A39:F39"/>
    <mergeCell ref="A40:F40"/>
    <mergeCell ref="B14:F14"/>
    <mergeCell ref="B15:F15"/>
    <mergeCell ref="B16:F16"/>
    <mergeCell ref="A17:F17"/>
    <mergeCell ref="A27:F27"/>
    <mergeCell ref="B9:F9"/>
    <mergeCell ref="B10:F10"/>
    <mergeCell ref="B11:F11"/>
    <mergeCell ref="B12:F12"/>
    <mergeCell ref="B13:F13"/>
    <mergeCell ref="A4:F4"/>
    <mergeCell ref="B5:F5"/>
    <mergeCell ref="B6:F6"/>
    <mergeCell ref="B7:F7"/>
    <mergeCell ref="A8:F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Plan</vt:lpstr>
      <vt:lpstr>Test Scenarios</vt:lpstr>
      <vt:lpstr>Web Test Cases</vt:lpstr>
      <vt:lpstr>RTM</vt:lpstr>
      <vt:lpstr>Decision Matrix</vt:lpstr>
      <vt:lpstr>Bug Reports</vt: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Maleyka Alili</cp:lastModifiedBy>
  <cp:revision>0</cp:revision>
  <dcterms:created xsi:type="dcterms:W3CDTF">2026-10-04T08:53:29Z</dcterms:created>
  <dcterms:modified xsi:type="dcterms:W3CDTF">2026-10-16T17:31:56Z</dcterms:modified>
  <dc:language>en-US</dc:language>
</cp:coreProperties>
</file>